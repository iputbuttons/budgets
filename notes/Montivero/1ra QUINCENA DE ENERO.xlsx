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RSUAVE\CONTROL DE TICKETS\Enero 2026\"/>
    </mc:Choice>
  </mc:AlternateContent>
  <bookViews>
    <workbookView xWindow="0" yWindow="0" windowWidth="20490" windowHeight="7635"/>
  </bookViews>
  <sheets>
    <sheet name="RESUMEN" sheetId="7" r:id="rId1"/>
    <sheet name="RECORRIDO CIUDAD" sheetId="6" r:id="rId2"/>
    <sheet name="CADETERIA" sheetId="1" r:id="rId3"/>
    <sheet name="JUSTO DARACT" sheetId="5" r:id="rId4"/>
    <sheet name="SAN LUIS" sheetId="9" r:id="rId5"/>
    <sheet name="TRAFIC" sheetId="8" r:id="rId6"/>
  </sheets>
  <calcPr calcId="152511"/>
</workbook>
</file>

<file path=xl/calcChain.xml><?xml version="1.0" encoding="utf-8"?>
<calcChain xmlns="http://schemas.openxmlformats.org/spreadsheetml/2006/main">
  <c r="H33" i="8" l="1"/>
  <c r="G15" i="9" l="1"/>
  <c r="F17" i="1" l="1"/>
  <c r="F557" i="6"/>
  <c r="G45" i="5" l="1"/>
  <c r="I15" i="9" l="1"/>
  <c r="J557" i="6" l="1"/>
  <c r="G17" i="9" l="1"/>
  <c r="H3" i="9" s="1"/>
  <c r="D13" i="7" s="1"/>
  <c r="D33" i="8"/>
  <c r="F19" i="1"/>
  <c r="G17" i="1"/>
  <c r="F35" i="8" l="1"/>
  <c r="E2" i="8" s="1"/>
  <c r="I45" i="5"/>
  <c r="F559" i="6" l="1"/>
  <c r="G3" i="6" l="1"/>
  <c r="G47" i="5" l="1"/>
  <c r="H3" i="5" s="1"/>
  <c r="D12" i="7" s="1"/>
  <c r="J9" i="7" l="1"/>
  <c r="G3" i="1" l="1"/>
  <c r="D11" i="7" l="1"/>
  <c r="D10" i="7" l="1"/>
  <c r="D14" i="7" s="1"/>
</calcChain>
</file>

<file path=xl/sharedStrings.xml><?xml version="1.0" encoding="utf-8"?>
<sst xmlns="http://schemas.openxmlformats.org/spreadsheetml/2006/main" count="2360" uniqueCount="518">
  <si>
    <t>Nº BOLETA</t>
  </si>
  <si>
    <t>FECHA</t>
  </si>
  <si>
    <t>HORARIO</t>
  </si>
  <si>
    <t>KM REALIZADOS</t>
  </si>
  <si>
    <t>OBSERVACIONES</t>
  </si>
  <si>
    <t>ENTRADA</t>
  </si>
  <si>
    <t>SALIDA</t>
  </si>
  <si>
    <t>JUSTO DARACT</t>
  </si>
  <si>
    <t>CHOFER</t>
  </si>
  <si>
    <t>DETALLE</t>
  </si>
  <si>
    <t>GABRIEL PONCE</t>
  </si>
  <si>
    <t>CADETERIA</t>
  </si>
  <si>
    <t>PABLO ALCARAZ</t>
  </si>
  <si>
    <t>N°</t>
  </si>
  <si>
    <t>Total de Km:</t>
  </si>
  <si>
    <t>Costo Total:</t>
  </si>
  <si>
    <t>TRANSPORTE MONTIVERO</t>
  </si>
  <si>
    <t>CLIENTE:</t>
  </si>
  <si>
    <t>TERSUAVE/ DISAL S.A.</t>
  </si>
  <si>
    <t>PERIODO:</t>
  </si>
  <si>
    <t>CIUDAD</t>
  </si>
  <si>
    <t>KM</t>
  </si>
  <si>
    <t>TOTAL</t>
  </si>
  <si>
    <t>VIAJES EN MOVILES</t>
  </si>
  <si>
    <t>MIN. ESPERA</t>
  </si>
  <si>
    <t>PASAJEROS</t>
  </si>
  <si>
    <t>TOTALES</t>
  </si>
  <si>
    <t>NOVEDADES</t>
  </si>
  <si>
    <t>TOTAL DE KM</t>
  </si>
  <si>
    <t>RECORRIDOS EN TRAFIC</t>
  </si>
  <si>
    <t>LLEGADA A PLANTA</t>
  </si>
  <si>
    <t>LLEGADA PLANTA</t>
  </si>
  <si>
    <t>ESPERA</t>
  </si>
  <si>
    <t>TOTALES DE VIAJES</t>
  </si>
  <si>
    <t>15:00 - 16:00</t>
  </si>
  <si>
    <t>14:00 - 15:00</t>
  </si>
  <si>
    <t>06:00 - 07:00</t>
  </si>
  <si>
    <t>VIAJES CANTIDAD</t>
  </si>
  <si>
    <t>RECORRIDO 2 (RENAULT MASTER)</t>
  </si>
  <si>
    <t>RECORRIDO 1 (MERCEDES SPRINTER)</t>
  </si>
  <si>
    <t>RECORRIDOS COMBIS</t>
  </si>
  <si>
    <t>CANTIDAD DE VIAJES</t>
  </si>
  <si>
    <t>SAN LUIS</t>
  </si>
  <si>
    <t>EVELIN ROJAS</t>
  </si>
  <si>
    <t>JORGE ICARDI</t>
  </si>
  <si>
    <t>JUAN CARLOS  MOLINA</t>
  </si>
  <si>
    <t>EZEQUIEL VERGARA</t>
  </si>
  <si>
    <t>JUAN MOLINA</t>
  </si>
  <si>
    <t>0 Min. De espera equivalente en KM</t>
  </si>
  <si>
    <t>SERGIO FERNANDEZ</t>
  </si>
  <si>
    <t>BELLO J.</t>
  </si>
  <si>
    <t>DOMINGUEZ D.</t>
  </si>
  <si>
    <t>DANIEL DUTREY</t>
  </si>
  <si>
    <t>MOTIVO</t>
  </si>
  <si>
    <t>EGRESO</t>
  </si>
  <si>
    <t>INGRESO</t>
  </si>
  <si>
    <t>GOMEZ J.</t>
  </si>
  <si>
    <t>PAYERO-TORRES-OCHOA</t>
  </si>
  <si>
    <t>DAMIAN ISOLA</t>
  </si>
  <si>
    <t>VEGA-PEDERNERA</t>
  </si>
  <si>
    <t>INGRESO COLORIN</t>
  </si>
  <si>
    <t>1º QUINCENA ENERO 2026</t>
  </si>
  <si>
    <t>DEL 27 DIC. AL 15 ENERO</t>
  </si>
  <si>
    <t>MIDLELL-BELLO-DOMINGUEZ</t>
  </si>
  <si>
    <t>ILLANES-FUNES C.-ZAVALA</t>
  </si>
  <si>
    <t>ROMAN-RITTANO-FALCON</t>
  </si>
  <si>
    <t>LUCERO P.</t>
  </si>
  <si>
    <t>OLGUIN J.</t>
  </si>
  <si>
    <t>SALAFIA-FLORES</t>
  </si>
  <si>
    <t>GOMEZ-TISERA-ALTURRIA</t>
  </si>
  <si>
    <t>TORRES L.</t>
  </si>
  <si>
    <t>SEGURA-MERCAU-FUNES L.</t>
  </si>
  <si>
    <t>CAPUSOTTI-SEGURA-FUNES</t>
  </si>
  <si>
    <t>FUNES M.-SEGURA-CAPUSOTTI-HOYOS</t>
  </si>
  <si>
    <t>SHORTREDE-VIDELA-GARRO</t>
  </si>
  <si>
    <t>PAYERO-OCHOA</t>
  </si>
  <si>
    <t>BUSTOS L.</t>
  </si>
  <si>
    <t>NUEVO DOMICILIO: SALTA AL 1500</t>
  </si>
  <si>
    <t>TORRES-MERCAU</t>
  </si>
  <si>
    <t>DICRISTOFANO-CACERES-CHAVEZ-FUNES L.</t>
  </si>
  <si>
    <t>GARRIDO-TEJERO-POLLACHI</t>
  </si>
  <si>
    <t>OZAN-CAPUSOTTI-FUNES L.</t>
  </si>
  <si>
    <t>NUÑEZ-PAYERO-TORRES-OCHOA</t>
  </si>
  <si>
    <t>HOYOS S.</t>
  </si>
  <si>
    <t>GUZMAN-AGUIRRE-NIEVAS</t>
  </si>
  <si>
    <t>PAYERO-TORRES J.</t>
  </si>
  <si>
    <t>TISERA-BUSTOS L.</t>
  </si>
  <si>
    <t>DICRISTOFANO-CAPUSOTTI-SEGURA-FUNES M.</t>
  </si>
  <si>
    <t>CARENA LUCIA: DOMICILIO VM - COLORIN</t>
  </si>
  <si>
    <t>HOYOS-POBLET</t>
  </si>
  <si>
    <t>SOSA B.</t>
  </si>
  <si>
    <t>PLANTA- H. DE LA VILLA</t>
  </si>
  <si>
    <t xml:space="preserve">CALDERON-MEDERO-ESCUDERO </t>
  </si>
  <si>
    <t>FLORES-VIDELA-BRITOS E.-CRUZ</t>
  </si>
  <si>
    <t>ZAVALA-AVILA-POLLACHI</t>
  </si>
  <si>
    <t>BELLO-DOMINGUEZ</t>
  </si>
  <si>
    <t>POBLET-TOLEDO-REYNOSO</t>
  </si>
  <si>
    <t>ZAVALA-GARRIDO-TEJERO</t>
  </si>
  <si>
    <t>ROSALES-CABALLERO-BUSTOS L.</t>
  </si>
  <si>
    <t>ROLON M.-ANDURELL A.: PLANTA V.M. - MATRICERIA ARG.</t>
  </si>
  <si>
    <t>IDA Y VUELTA A PLANTA CON ESPERA</t>
  </si>
  <si>
    <t>CORNELLI F.</t>
  </si>
  <si>
    <t>ECHEVARRIA J.</t>
  </si>
  <si>
    <t>CORNELLI-NIEVAS-CORIA</t>
  </si>
  <si>
    <t>GARRO N.</t>
  </si>
  <si>
    <t>ALTURRIA H.</t>
  </si>
  <si>
    <t>NEGATIVO EN PLANTA</t>
  </si>
  <si>
    <t>VAGARIA-RODRIGUEZ E.</t>
  </si>
  <si>
    <t>PAYERO-GIRARDI</t>
  </si>
  <si>
    <t>MERCAU J.</t>
  </si>
  <si>
    <t>MIDLELL-DOMINGUEZ</t>
  </si>
  <si>
    <t>CHAVEZ E.</t>
  </si>
  <si>
    <t>FUNES M.-SEGURA-CAPUSOTTI</t>
  </si>
  <si>
    <t>ZAVALA-FUNES C. (-)</t>
  </si>
  <si>
    <t>NEGATIVO EN DOMICILIO DE FUNES C.</t>
  </si>
  <si>
    <t>POLLACHI C.</t>
  </si>
  <si>
    <t>OCHOA-PAYERO-CORNELLI</t>
  </si>
  <si>
    <t>BUSTOS L.-GUTIERREZ-PACO</t>
  </si>
  <si>
    <t>PACO-POCLABA-BARAHONA-BORTOLUSSI</t>
  </si>
  <si>
    <t>ZAVALA-ALTAMIRANO</t>
  </si>
  <si>
    <t>LARROUDE M.</t>
  </si>
  <si>
    <t>MERCAU-TORRES</t>
  </si>
  <si>
    <t>AGÜERO-CHAVEZ-CABRERA-ROMAN</t>
  </si>
  <si>
    <t>BRITOS-PAYERO-GUERRA</t>
  </si>
  <si>
    <t>PAYERO-CORNELLI</t>
  </si>
  <si>
    <t>MEDERO-RODRIGUEZ</t>
  </si>
  <si>
    <t>OJEDA-NIEVAS-GARRO</t>
  </si>
  <si>
    <t>ROLDAN-RODRIGUEZ-GARRO</t>
  </si>
  <si>
    <t>ESCRIBANIA: PLANTA - CIUDAD</t>
  </si>
  <si>
    <t>MACIAS E.</t>
  </si>
  <si>
    <t xml:space="preserve">NEGATIVO EN DOMICILIO </t>
  </si>
  <si>
    <t>OLGUIN-SOMBRA-MATURANO-TORRES</t>
  </si>
  <si>
    <t>TISERA-GOMEZ</t>
  </si>
  <si>
    <t>DEVICCENCI-JAKUBEK-TORRES L.-BENENTE</t>
  </si>
  <si>
    <t>ZAVALA-GARRIDO</t>
  </si>
  <si>
    <t>MEDERO-HEREDIA</t>
  </si>
  <si>
    <t>RITTANO F.</t>
  </si>
  <si>
    <t>CORNELLI-DEVICCENCI-JAKUBEK</t>
  </si>
  <si>
    <t>SOMBRAS-OLGUIN-REYNOSO</t>
  </si>
  <si>
    <t>POLLACHI-ZAVALA</t>
  </si>
  <si>
    <t>CABALLERO C.</t>
  </si>
  <si>
    <t>CUÑADO-TISERA-PEREZ-FUNES L.</t>
  </si>
  <si>
    <t>HOYOS-PEDERNERA</t>
  </si>
  <si>
    <t>CABALLERO-GUTIERREZ</t>
  </si>
  <si>
    <t>FUNES L.</t>
  </si>
  <si>
    <t>VELAZCO A.</t>
  </si>
  <si>
    <t>MACIAS-MIRANDA</t>
  </si>
  <si>
    <t>ESCUDERO-QUEVEDO</t>
  </si>
  <si>
    <t>NEGATIVO EN DOMICILIO QUEVEDO</t>
  </si>
  <si>
    <t>LUCERO D.</t>
  </si>
  <si>
    <t>SANDANDE</t>
  </si>
  <si>
    <t>TORRES-FUNES</t>
  </si>
  <si>
    <t>GOMEZ-ALTURRIA</t>
  </si>
  <si>
    <t>ESCUDERO-MEDERO</t>
  </si>
  <si>
    <t>GONZALEZ-QUIROGA-PACO</t>
  </si>
  <si>
    <t>RODRIGUEZ E.</t>
  </si>
  <si>
    <t>ALTAMIRANO</t>
  </si>
  <si>
    <t>REPROGRAMADO 07:50 POR GUARDIA</t>
  </si>
  <si>
    <t>ROBLES J.</t>
  </si>
  <si>
    <t>LARROUDE-ALTURRIA-BRUÑA-DELLABRUNA</t>
  </si>
  <si>
    <t>NEGATIVO EN DOMICILIO: BAJA SIN AVISO</t>
  </si>
  <si>
    <t>NEGATIVO EN DOMICILIO MIRANDA</t>
  </si>
  <si>
    <t>VRACAMONTE-ARGUELLO-PATIÑO-CHAVEZ</t>
  </si>
  <si>
    <t>AGÜERO-ROMAN-CHAVEZ</t>
  </si>
  <si>
    <t>BRITOS-BARRIOS</t>
  </si>
  <si>
    <t>RIKLE-ILLANES-LUCERO</t>
  </si>
  <si>
    <t>VIDELA-SUPICIATTI-VAGARIA-RAMIREZ</t>
  </si>
  <si>
    <t>GIRARDI</t>
  </si>
  <si>
    <t>RIKLE-ILLANES-LUCERO P.</t>
  </si>
  <si>
    <t>ARGUELLO-PATIÑO-CEJAS-CHAVEZ</t>
  </si>
  <si>
    <t>TISERA N.</t>
  </si>
  <si>
    <t>OCHOA-PAYERO</t>
  </si>
  <si>
    <t>MEDERO C.</t>
  </si>
  <si>
    <t>HOTOS S.</t>
  </si>
  <si>
    <t>GARRIDO-LUCERO</t>
  </si>
  <si>
    <t>FALCON-RITTANO-ROMAN</t>
  </si>
  <si>
    <t>MONDON-BUSTOS-GUTIERREZ</t>
  </si>
  <si>
    <t>AGÜERO-CHAVEZ-TEJERO</t>
  </si>
  <si>
    <t>LARROUDE-BRUÑA</t>
  </si>
  <si>
    <t>SHORTREDE A.: COLORIN - DOMICILIO VM</t>
  </si>
  <si>
    <t>EGRESO COLORIN</t>
  </si>
  <si>
    <t>VRACAMONTE-ZAVALA</t>
  </si>
  <si>
    <t>ILLANES-ROSALES-CABALLERO</t>
  </si>
  <si>
    <t>NEGATIVO EN DOMICILIO: EL OPERARIO HABIA NOTIFICADO RRHH QUE IBA EN MEDIOS PROPIOS MIERCOLES-JUEVES-VIERNES</t>
  </si>
  <si>
    <t>LARROUDE-DELLABRUNA-BRUÑA</t>
  </si>
  <si>
    <t>LUCERO-GARRIDO</t>
  </si>
  <si>
    <t>PEDERNERA-VEGA</t>
  </si>
  <si>
    <t>SASSIA-HEREDIA</t>
  </si>
  <si>
    <t>ROMAN-CABRERA-AGÜERO</t>
  </si>
  <si>
    <t>NUÑEZ-PAYERO-OCHOA</t>
  </si>
  <si>
    <t>BOLLA D.</t>
  </si>
  <si>
    <t>BRUÑA M.</t>
  </si>
  <si>
    <t>PEDERNERA-FUNES-SEGURA-VEGA</t>
  </si>
  <si>
    <t>POLLACHI-TEJERO</t>
  </si>
  <si>
    <t>GARRIDO-POLLACHI</t>
  </si>
  <si>
    <t>TORRES-PAYERO-OCHOA</t>
  </si>
  <si>
    <t>ALTURRIA-GOMEZ-TISERA</t>
  </si>
  <si>
    <t>PEDERNERA-SEGURA-FUNES</t>
  </si>
  <si>
    <t>NEGATIVO DOMICILIO SEGURA Y FUNES M.</t>
  </si>
  <si>
    <t>NEGATIVO EN DOMICILIO MERCAU J.</t>
  </si>
  <si>
    <t>POLLACHI</t>
  </si>
  <si>
    <t>ALTURRIA</t>
  </si>
  <si>
    <t>BUSTOS-AGÜERO</t>
  </si>
  <si>
    <t>BARAHONA-MANCHENTO-PACO</t>
  </si>
  <si>
    <t>PACO-BARAHONA-MANCHENTO</t>
  </si>
  <si>
    <t>GARRIDO-TEJERO</t>
  </si>
  <si>
    <t>BOLLA-TOLEDO-POBLET</t>
  </si>
  <si>
    <t>MORENO A.</t>
  </si>
  <si>
    <t>MANCHENTO-MERCAU</t>
  </si>
  <si>
    <t>AGÜERO-ROMAN-TEJERO</t>
  </si>
  <si>
    <t>POLLACHI-ROMAN-AGÜERO-CHAVEZ</t>
  </si>
  <si>
    <t>MEDERO-GIRARDI-ILLANES</t>
  </si>
  <si>
    <t>BOLLA-POBLET-TOLEDO</t>
  </si>
  <si>
    <t>DOMINGUEZ-BELLO</t>
  </si>
  <si>
    <t>AGÜERO-CHAVEZ-ROMAN-MANZANO</t>
  </si>
  <si>
    <t>TEJERO-POLLACHI</t>
  </si>
  <si>
    <t>NEGATIVO EN DOMICILIO TEJERO</t>
  </si>
  <si>
    <t>BUSTOS-GUTIERREZ-MONDON</t>
  </si>
  <si>
    <t>ROMAN-CHAVEZ-MANZANO-AGÜERO</t>
  </si>
  <si>
    <t>SEGURA-CAPUSOTTI-OZAN</t>
  </si>
  <si>
    <t>NEGATIVO EN TODOS LOS DOMICILIOS: ERROR DE PROGRAMACION</t>
  </si>
  <si>
    <t>ZAVALA D.</t>
  </si>
  <si>
    <t>VRACAMONTE-CEJAS-ARGUELLO-PATIÑO</t>
  </si>
  <si>
    <t>ESCUDERO A.</t>
  </si>
  <si>
    <t>NEGATIVO EN PLANTA: MOVILIDAD PROPIA</t>
  </si>
  <si>
    <t>LARROUDE</t>
  </si>
  <si>
    <t>LLEVAR MUESTRAS: PLANTA VM - COLORIN</t>
  </si>
  <si>
    <t>CABRERA E.</t>
  </si>
  <si>
    <t>JAKUBEK-DEVICCENCI</t>
  </si>
  <si>
    <t>MELANIA M.</t>
  </si>
  <si>
    <t>BULONERA CENTRO-PLANTA</t>
  </si>
  <si>
    <t>GARRIDO-SASSIA</t>
  </si>
  <si>
    <t>ARGUELLO-PATIÑO-BRITOS</t>
  </si>
  <si>
    <t>POCLABA H.</t>
  </si>
  <si>
    <t>REPROGRAMADO 17:15HS POR GUARDIA</t>
  </si>
  <si>
    <t>CABRERA-MACIAS</t>
  </si>
  <si>
    <t>05.00</t>
  </si>
  <si>
    <t>DELLA BRUNA</t>
  </si>
  <si>
    <t>04.40</t>
  </si>
  <si>
    <t>07.00</t>
  </si>
  <si>
    <t>06.43</t>
  </si>
  <si>
    <t>08.00</t>
  </si>
  <si>
    <t>ROBLES</t>
  </si>
  <si>
    <t>16.30</t>
  </si>
  <si>
    <t>21.00</t>
  </si>
  <si>
    <t>FUNES-ZABALA</t>
  </si>
  <si>
    <t>20.53</t>
  </si>
  <si>
    <t>AGÜERO</t>
  </si>
  <si>
    <t>MACIAS</t>
  </si>
  <si>
    <t>23.00</t>
  </si>
  <si>
    <t>PAYERO-MEDERO-ESCUDERO-LUCERO</t>
  </si>
  <si>
    <t>24.00</t>
  </si>
  <si>
    <t>MERCAU</t>
  </si>
  <si>
    <t>02.00</t>
  </si>
  <si>
    <t>GIRARDI-REYNOSO</t>
  </si>
  <si>
    <t>03.00</t>
  </si>
  <si>
    <t>GARRO</t>
  </si>
  <si>
    <t>01.00</t>
  </si>
  <si>
    <t>CABRERA</t>
  </si>
  <si>
    <t>07.51</t>
  </si>
  <si>
    <t>20.45</t>
  </si>
  <si>
    <t>MIRANDA-MACIAS-LUCERO</t>
  </si>
  <si>
    <t>FLORES-CABRERA</t>
  </si>
  <si>
    <t>MAGALLANES-REYNOSO-GIRARDI</t>
  </si>
  <si>
    <t>06.00</t>
  </si>
  <si>
    <t>CALDERON-RIKLE</t>
  </si>
  <si>
    <t>ROMAN-FALCON-RITTANO</t>
  </si>
  <si>
    <t>06.50</t>
  </si>
  <si>
    <t>URQUIZA-POLLACCHI-AVILA</t>
  </si>
  <si>
    <t>TEJERO-AGÜERO</t>
  </si>
  <si>
    <t>05.47</t>
  </si>
  <si>
    <t>17.00</t>
  </si>
  <si>
    <t>VIDELA-GARRO</t>
  </si>
  <si>
    <t>MATURANO-NYÑEZ-TORRES</t>
  </si>
  <si>
    <t>ZAVALA-ILLANES</t>
  </si>
  <si>
    <t>CHAVEZ-CACERES-OZAN-DICRISTOFANO</t>
  </si>
  <si>
    <t>CORNELLI</t>
  </si>
  <si>
    <t xml:space="preserve">TORRES-NUÑEZ </t>
  </si>
  <si>
    <t>20.52</t>
  </si>
  <si>
    <t>ALTAMIRANO-ZABALA</t>
  </si>
  <si>
    <t>OZAN-ZULETA-MAGALLANES</t>
  </si>
  <si>
    <t>MATURANO-NUÑEZ-SOMBRA</t>
  </si>
  <si>
    <t>16.00</t>
  </si>
  <si>
    <t xml:space="preserve">GOMEZ </t>
  </si>
  <si>
    <t>QUIROGA-BARAHONA-BORTOLUSSI-PACO</t>
  </si>
  <si>
    <t>BRITOS-POCLABA</t>
  </si>
  <si>
    <t>20.42</t>
  </si>
  <si>
    <t>ZULETA-MAGALLANES</t>
  </si>
  <si>
    <t>OLGUIN-SOMBRA-MATURANO</t>
  </si>
  <si>
    <t>SOMBRA-BOLLA</t>
  </si>
  <si>
    <t>FUNES-OZAN-CACERES-CHAVEZ</t>
  </si>
  <si>
    <t>20.00</t>
  </si>
  <si>
    <t>HOYOS</t>
  </si>
  <si>
    <t>20.50</t>
  </si>
  <si>
    <t>22.00</t>
  </si>
  <si>
    <t>RODRIGUEZ</t>
  </si>
  <si>
    <t>04.55</t>
  </si>
  <si>
    <t>QUIROGA-DELLA BRUNA-POCLABA</t>
  </si>
  <si>
    <t>05.45</t>
  </si>
  <si>
    <t>ROLDAN-GARRO</t>
  </si>
  <si>
    <t>07.48</t>
  </si>
  <si>
    <t>12.00</t>
  </si>
  <si>
    <t>BRITOS-RAMIREZ-PALLERO-ROSALES</t>
  </si>
  <si>
    <t>MORENO-DELLA BRUNA</t>
  </si>
  <si>
    <t>MODON-ROSALES-BUSTOS</t>
  </si>
  <si>
    <t>BOLLA</t>
  </si>
  <si>
    <t>DICRISTOFANO-CAPUSSOTI-OZAN-SEGURA</t>
  </si>
  <si>
    <t>BARRIOS-OJEDA</t>
  </si>
  <si>
    <t xml:space="preserve">GUTIERREZ-MODON </t>
  </si>
  <si>
    <t>CUÑADO-TISSERA-POCLABA-HOYOS</t>
  </si>
  <si>
    <t>18.00</t>
  </si>
  <si>
    <t>17.57</t>
  </si>
  <si>
    <t>14.00</t>
  </si>
  <si>
    <t>TORRES-MIRANDA</t>
  </si>
  <si>
    <t>13.48</t>
  </si>
  <si>
    <t>ILLANES-GARRO</t>
  </si>
  <si>
    <t>17.58</t>
  </si>
  <si>
    <t>20.54</t>
  </si>
  <si>
    <t>SOMBRA-OLGUIN</t>
  </si>
  <si>
    <t>CABRERA-REYNOSO-FLORES</t>
  </si>
  <si>
    <t>POBLET-BORTOLUSSI</t>
  </si>
  <si>
    <t>BUSTOS-MODON-GUTIERREZ</t>
  </si>
  <si>
    <t xml:space="preserve">BRUÑA </t>
  </si>
  <si>
    <t>06.45</t>
  </si>
  <si>
    <t>JAKUBET-DEVICENCI</t>
  </si>
  <si>
    <t>BRITOS-TEJERO</t>
  </si>
  <si>
    <t>17.48</t>
  </si>
  <si>
    <t>MATURANO-SOMBRA-BOLLA-OLGUIN</t>
  </si>
  <si>
    <t>17.52</t>
  </si>
  <si>
    <t>VRAKAMONTE</t>
  </si>
  <si>
    <t>MATURANO-OLGUIN-SOMBRA</t>
  </si>
  <si>
    <t xml:space="preserve">MANCHENTO </t>
  </si>
  <si>
    <t>MAGALLANES-CHAVEZ-ALANIZ</t>
  </si>
  <si>
    <t>15.00</t>
  </si>
  <si>
    <t>OSTELLINO</t>
  </si>
  <si>
    <t>14.43</t>
  </si>
  <si>
    <t>SASSIA-GARRIDO</t>
  </si>
  <si>
    <t>PEDERNERA-OLGUIN-VEGA</t>
  </si>
  <si>
    <t>GUTIERREZ-MODON-BUSTOS</t>
  </si>
  <si>
    <t>SEGURA-FUNES-CAPUSSOTI</t>
  </si>
  <si>
    <t>AGÜERO-PEDERNERA-VEGA-OLGUIN</t>
  </si>
  <si>
    <t>13.00</t>
  </si>
  <si>
    <t>LUCERO-CORNRLLI</t>
  </si>
  <si>
    <t>13.50</t>
  </si>
  <si>
    <t>FABIO CORNELLI</t>
  </si>
  <si>
    <t>FLORES-GARRIDO</t>
  </si>
  <si>
    <t>LUCERO-RIKLE</t>
  </si>
  <si>
    <t>HEREDIA-SASSIA</t>
  </si>
  <si>
    <t>CAPUSSOTI</t>
  </si>
  <si>
    <t>ILLANES-RIKLE-LUCERO</t>
  </si>
  <si>
    <t>SOMBRA-MATURANO</t>
  </si>
  <si>
    <t>VEGA-PEDERNERA-FUNES-CAPUSSOTI</t>
  </si>
  <si>
    <t>13.52</t>
  </si>
  <si>
    <t>BRUÑA-LARROUDE</t>
  </si>
  <si>
    <t>TORRES-NUÑEZ-MATURANO</t>
  </si>
  <si>
    <t>GARRIDO</t>
  </si>
  <si>
    <t>20.40</t>
  </si>
  <si>
    <t>CRUZ-FLORES-BRITOS-VIDELA</t>
  </si>
  <si>
    <t xml:space="preserve">PEDERNERA </t>
  </si>
  <si>
    <t>CALDERON-GIRARDI-MEDERO</t>
  </si>
  <si>
    <t>20.41</t>
  </si>
  <si>
    <t>MIRANDA-TORRES</t>
  </si>
  <si>
    <t>FLORES</t>
  </si>
  <si>
    <t>TOLEDO-MERCAU-MANCHENTO</t>
  </si>
  <si>
    <t>OJEDA-BARRIOS</t>
  </si>
  <si>
    <t>PACO-BARAHONA-QUIROGA-JEREZ</t>
  </si>
  <si>
    <t>14.47</t>
  </si>
  <si>
    <t>20.46</t>
  </si>
  <si>
    <t>RITTANO-ROMAN</t>
  </si>
  <si>
    <t>VIDELA-RAMIREZ</t>
  </si>
  <si>
    <t>NIEVAS-VIDELA-CORNELLI-CORIA</t>
  </si>
  <si>
    <t>TISSERA-GOMEZ</t>
  </si>
  <si>
    <t>ALTURRIA-GOMEZ-TISSERA</t>
  </si>
  <si>
    <t>06.48</t>
  </si>
  <si>
    <t>CHAVEZ-CACERES</t>
  </si>
  <si>
    <t>BRUÑA-MANCHENTO</t>
  </si>
  <si>
    <t>07.46</t>
  </si>
  <si>
    <t>OLGUIN-OCHOA</t>
  </si>
  <si>
    <t>17.53</t>
  </si>
  <si>
    <t>BUSTOS</t>
  </si>
  <si>
    <t>POCLABA-PACO-QUIROGA</t>
  </si>
  <si>
    <t>07.47</t>
  </si>
  <si>
    <t>11.00</t>
  </si>
  <si>
    <t>SOSA</t>
  </si>
  <si>
    <t>PAYERO-VIDELA-RAMIREZ</t>
  </si>
  <si>
    <t>ROSALES-BRITOS-RAMIREZ-PALLERO</t>
  </si>
  <si>
    <t>05.36</t>
  </si>
  <si>
    <t>AGÜERO-BUSTOS-POCLABA-QUIROGA</t>
  </si>
  <si>
    <t>GOMEZ</t>
  </si>
  <si>
    <t>09.00</t>
  </si>
  <si>
    <t>CARMONA</t>
  </si>
  <si>
    <t>BRITOS-CHAVEZ-RAMIREZ-GUERRA</t>
  </si>
  <si>
    <t>07.42</t>
  </si>
  <si>
    <t>OZAN-CAPUSSOTTI-SEGURA</t>
  </si>
  <si>
    <t>VAGARIA-BRITOS-CORNELLI-GUZMAN</t>
  </si>
  <si>
    <t>VIDELA-CORNELLI-CUÑADO-RAMIREZ</t>
  </si>
  <si>
    <t>FUNES-OCHOA</t>
  </si>
  <si>
    <t>07.45</t>
  </si>
  <si>
    <t>12.47</t>
  </si>
  <si>
    <t>MANZUELLI</t>
  </si>
  <si>
    <t>RITTANO</t>
  </si>
  <si>
    <t>SCARPECCI-QUIROGA-DEVICENCCI-JAKUBET</t>
  </si>
  <si>
    <t>OCHOA</t>
  </si>
  <si>
    <t>TEJERO-AGÜERO-CHAVEZ</t>
  </si>
  <si>
    <t>05.53</t>
  </si>
  <si>
    <t>BRUÑA</t>
  </si>
  <si>
    <t>06.49</t>
  </si>
  <si>
    <t>REYNOSO-ROSALES</t>
  </si>
  <si>
    <t>14.41</t>
  </si>
  <si>
    <t>FALCON-SANOGUERA-PATIÑO-ALTAMIRANO</t>
  </si>
  <si>
    <t>AVILA-POLLACCHI</t>
  </si>
  <si>
    <t>04.42</t>
  </si>
  <si>
    <t>POLLACCHI-TEJERO-AGÜERO-CHAVEZ</t>
  </si>
  <si>
    <t>06.13</t>
  </si>
  <si>
    <t>AGÜERO-VEGA-PEDERNERA</t>
  </si>
  <si>
    <t>AGUILERA M</t>
  </si>
  <si>
    <t>13.55</t>
  </si>
  <si>
    <t>14.50</t>
  </si>
  <si>
    <t>BARAHONA-BRUÑA-LARRAUDE</t>
  </si>
  <si>
    <t>PATIÑO-FALCON-RAMIREZ</t>
  </si>
  <si>
    <t>05.50</t>
  </si>
  <si>
    <t>RIKLE-ILLANES-CALDERON</t>
  </si>
  <si>
    <t>MIRANDA-ROSALES</t>
  </si>
  <si>
    <t>20.43</t>
  </si>
  <si>
    <t xml:space="preserve">ROSALES </t>
  </si>
  <si>
    <t xml:space="preserve">VEGA-PEDERNERA-AGÜERO </t>
  </si>
  <si>
    <t>VELAZCO-AGÜERO-FALCON-CHAVEZ</t>
  </si>
  <si>
    <t>ROMAN-CABRERA-CHAVEZ</t>
  </si>
  <si>
    <t>05.56</t>
  </si>
  <si>
    <t>14.48</t>
  </si>
  <si>
    <t>BORTOLLUCI</t>
  </si>
  <si>
    <t>AGÜERO-ROMAN-CABRERA-CHAVEZ</t>
  </si>
  <si>
    <t>06.46</t>
  </si>
  <si>
    <t>13.49</t>
  </si>
  <si>
    <t>14.45</t>
  </si>
  <si>
    <t>TEJERO-GARRIDO-POLLACCHI</t>
  </si>
  <si>
    <t xml:space="preserve">RITTANO </t>
  </si>
  <si>
    <t>PATIÑO-CHAVEZ-ARGUELLO-CABRERA</t>
  </si>
  <si>
    <t>20.48</t>
  </si>
  <si>
    <t>CACERES-CHAVEZ-CAPUSSOTI</t>
  </si>
  <si>
    <t>AGÜERO-CABRERA-ROMAN</t>
  </si>
  <si>
    <t>PATIÑO-CEJAS-ARGUELLO-CHAVEZ</t>
  </si>
  <si>
    <t>SEGURA-CAPUSSOTI-MERCAU-DICRISTOFANO</t>
  </si>
  <si>
    <t>ROMAN-CABRERA-AGÜERO-CHAVEZ</t>
  </si>
  <si>
    <t>05.51</t>
  </si>
  <si>
    <t>POBLET-CAPUSSOTI-CACERES-CHAVEZ</t>
  </si>
  <si>
    <t>CHAVES-CACERES</t>
  </si>
  <si>
    <t>BRITOS-PATIÑO-ARGUELLO-CABRERA</t>
  </si>
  <si>
    <t>PACO-QUIROGA-BARAHONA-BORTOLUSSI</t>
  </si>
  <si>
    <t>ZULETA-FUNES</t>
  </si>
  <si>
    <t xml:space="preserve">CACERES-CHAVEZ </t>
  </si>
  <si>
    <t>MONJE-PATIÑO-CHAVEZ-ARGUELLO</t>
  </si>
  <si>
    <t>14.16</t>
  </si>
  <si>
    <t>TORRES</t>
  </si>
  <si>
    <t>ROMAN-AGÜERO-CHAVEZ</t>
  </si>
  <si>
    <t>05.49</t>
  </si>
  <si>
    <t>MATURANO-MIRANDA</t>
  </si>
  <si>
    <t xml:space="preserve">POLLACCHI </t>
  </si>
  <si>
    <t>14.51</t>
  </si>
  <si>
    <t>PACO-BENENTTE-QUIROGA-BARAHONA</t>
  </si>
  <si>
    <t>06.44</t>
  </si>
  <si>
    <t>10.53</t>
  </si>
  <si>
    <t>CHAVEZ-ROMAN-TEJERO-AGÜERO</t>
  </si>
  <si>
    <t>ARGUELLO-PATIÑO-PIZARRO-CHAVEZ</t>
  </si>
  <si>
    <t>17.30</t>
  </si>
  <si>
    <t>CORREA</t>
  </si>
  <si>
    <t>POLLACCHI-AGÜERO-CHAVEZ-ROMAN</t>
  </si>
  <si>
    <t>ILLANES-CALDERON-MEDERO</t>
  </si>
  <si>
    <t>MANZANO</t>
  </si>
  <si>
    <t>10.49</t>
  </si>
  <si>
    <t>TORRES-MATURANO-MIRANDA</t>
  </si>
  <si>
    <t xml:space="preserve">FLORES </t>
  </si>
  <si>
    <t>14.49</t>
  </si>
  <si>
    <t>POCLABA-PEREZ-BENENTTE</t>
  </si>
  <si>
    <t>ROMAN-MANZANO-AGÜERO-CHAVEZ</t>
  </si>
  <si>
    <t>05.54</t>
  </si>
  <si>
    <t>GIRARDI-CALDERON</t>
  </si>
  <si>
    <t>PACO-BENENTE-BARAHONA-JEREZ</t>
  </si>
  <si>
    <t>RAMIREZ-GUERRA-CORNELLI-VAGARIA</t>
  </si>
  <si>
    <t>15.30</t>
  </si>
  <si>
    <t>ESCRIBANIA-PLANTA</t>
  </si>
  <si>
    <t>11.30</t>
  </si>
  <si>
    <t>11.40</t>
  </si>
  <si>
    <t>PLANTA-HIDRAULICA-PLANTA</t>
  </si>
  <si>
    <t>20 Min. De espera equivalente en KM</t>
  </si>
  <si>
    <t>BELLO</t>
  </si>
  <si>
    <t>DOMINGUEZ</t>
  </si>
  <si>
    <t>05.46</t>
  </si>
  <si>
    <t>14.46</t>
  </si>
  <si>
    <t>SHORTREDE A.: DOMICILIO V.M-COLORIN S.L</t>
  </si>
  <si>
    <t>RIVERO D.: PLANTA V.M-COLORIN S.L</t>
  </si>
  <si>
    <t>RIVERO: COLORIN S.L-DOMICILIO VM</t>
  </si>
  <si>
    <t>PAYERO-GIRARDI-LUCERO-MEDERO</t>
  </si>
  <si>
    <t>POLLACHI-AVILA</t>
  </si>
  <si>
    <t>FLORES A.</t>
  </si>
  <si>
    <t>AGÜERO-CHAVEZ-POLLACHI-TEJERO</t>
  </si>
  <si>
    <t>ROMAN-RITTANO-POLLACHI-TEJERO</t>
  </si>
  <si>
    <t>CARMONA O.</t>
  </si>
  <si>
    <t>VIAJE REPROGRAMADO POR GUARDIA</t>
  </si>
  <si>
    <t>CACERES-CHAVEZ</t>
  </si>
  <si>
    <t>BRITOS-GUERRA</t>
  </si>
  <si>
    <t>NUÑEZ-MATURANO-SOMBRAS</t>
  </si>
  <si>
    <t>ESCRIBANIA-CLINICA-PLANTA</t>
  </si>
  <si>
    <t>CAPUSSOTI-VEGA</t>
  </si>
  <si>
    <t>NEGATIVO EN DOMICILIO CAPUSOTTI</t>
  </si>
  <si>
    <t>SOSA BRAIAN</t>
  </si>
  <si>
    <t>H. DE LA VILLA AL DOMICILIO</t>
  </si>
  <si>
    <t>LARROUDE-QUIROGA-BRUÑA</t>
  </si>
  <si>
    <t>POCLABA-GOMEZ</t>
  </si>
  <si>
    <t>REYNOSO-OLGUIN-SOMBRAS</t>
  </si>
  <si>
    <t>GUZMAN-VAGARIA-CORNELLI</t>
  </si>
  <si>
    <t>GARRO-ILLANES</t>
  </si>
  <si>
    <t>OCHOA-FUNES</t>
  </si>
  <si>
    <t>GARRIDO-SASSIA-ZAVALA</t>
  </si>
  <si>
    <t>QUIROGA-POCLABA-PACO-JEREZ</t>
  </si>
  <si>
    <t>VRACAMONTE</t>
  </si>
  <si>
    <t>NEGATIVO EN EL EGRESO DE PLANTA</t>
  </si>
  <si>
    <t>TARIFA NUEVA: ENERO-DICIEMBRE-FEBRERO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</si>
</sst>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:mm;@"/>
    <numFmt numFmtId="165" formatCode="0.0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u/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8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u/>
      <sz val="18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24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Arial"/>
      <family val="2"/>
    </font>
    <font>
      <b/>
      <sz val="9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7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82">
    <xf numFmtId="0" fontId="0" fillId="0" borderId="0" xfId="0"/>
    <xf numFmtId="0" fontId="0" fillId="0" borderId="0" xfId="0"/>
    <xf numFmtId="0" fontId="3" fillId="4" borderId="14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0" fillId="0" borderId="0" xfId="0"/>
    <xf numFmtId="0" fontId="5" fillId="0" borderId="15" xfId="0" applyFont="1" applyBorder="1" applyAlignment="1">
      <alignment horizontal="center" vertical="center"/>
    </xf>
    <xf numFmtId="14" fontId="5" fillId="0" borderId="16" xfId="0" applyNumberFormat="1" applyFont="1" applyBorder="1" applyAlignment="1">
      <alignment horizontal="center" vertical="center"/>
    </xf>
    <xf numFmtId="164" fontId="5" fillId="5" borderId="16" xfId="0" applyNumberFormat="1" applyFont="1" applyFill="1" applyBorder="1" applyAlignment="1">
      <alignment horizontal="center" vertical="center"/>
    </xf>
    <xf numFmtId="164" fontId="5" fillId="4" borderId="16" xfId="0" applyNumberFormat="1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0" fillId="0" borderId="0" xfId="0"/>
    <xf numFmtId="0" fontId="14" fillId="8" borderId="12" xfId="0" applyFont="1" applyFill="1" applyBorder="1" applyAlignment="1">
      <alignment horizontal="center" vertical="center"/>
    </xf>
    <xf numFmtId="0" fontId="2" fillId="7" borderId="36" xfId="0" applyFont="1" applyFill="1" applyBorder="1" applyAlignment="1">
      <alignment horizontal="center"/>
    </xf>
    <xf numFmtId="0" fontId="5" fillId="0" borderId="2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0" fillId="0" borderId="0" xfId="0" applyBorder="1"/>
    <xf numFmtId="16" fontId="0" fillId="0" borderId="0" xfId="0" applyNumberFormat="1" applyBorder="1"/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0" fontId="0" fillId="7" borderId="0" xfId="0" applyFill="1" applyBorder="1"/>
    <xf numFmtId="0" fontId="11" fillId="7" borderId="12" xfId="0" applyFont="1" applyFill="1" applyBorder="1" applyAlignment="1">
      <alignment horizontal="center" vertical="center"/>
    </xf>
    <xf numFmtId="0" fontId="19" fillId="0" borderId="0" xfId="0" applyFont="1"/>
    <xf numFmtId="0" fontId="19" fillId="0" borderId="0" xfId="0" applyFont="1" applyBorder="1" applyAlignment="1">
      <alignment horizontal="center" vertical="center"/>
    </xf>
    <xf numFmtId="1" fontId="5" fillId="7" borderId="9" xfId="0" applyNumberFormat="1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12" fillId="0" borderId="12" xfId="0" applyFont="1" applyBorder="1" applyAlignment="1">
      <alignment vertical="center"/>
    </xf>
    <xf numFmtId="0" fontId="7" fillId="0" borderId="46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2" fillId="0" borderId="46" xfId="0" applyFont="1" applyBorder="1" applyAlignment="1">
      <alignment vertical="center"/>
    </xf>
    <xf numFmtId="0" fontId="0" fillId="0" borderId="40" xfId="0" applyBorder="1"/>
    <xf numFmtId="0" fontId="19" fillId="7" borderId="9" xfId="0" applyNumberFormat="1" applyFont="1" applyFill="1" applyBorder="1" applyAlignment="1">
      <alignment horizontal="center" vertical="center"/>
    </xf>
    <xf numFmtId="14" fontId="5" fillId="7" borderId="9" xfId="0" applyNumberFormat="1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64" fontId="5" fillId="7" borderId="9" xfId="0" applyNumberFormat="1" applyFont="1" applyFill="1" applyBorder="1" applyAlignment="1">
      <alignment horizontal="center" vertical="center"/>
    </xf>
    <xf numFmtId="164" fontId="5" fillId="7" borderId="16" xfId="0" applyNumberFormat="1" applyFont="1" applyFill="1" applyBorder="1" applyAlignment="1">
      <alignment horizontal="center" vertical="center"/>
    </xf>
    <xf numFmtId="164" fontId="5" fillId="7" borderId="19" xfId="0" applyNumberFormat="1" applyFont="1" applyFill="1" applyBorder="1" applyAlignment="1">
      <alignment horizontal="center" vertical="center"/>
    </xf>
    <xf numFmtId="0" fontId="19" fillId="12" borderId="12" xfId="0" applyFont="1" applyFill="1" applyBorder="1" applyAlignment="1">
      <alignment horizontal="center" vertical="center"/>
    </xf>
    <xf numFmtId="0" fontId="6" fillId="6" borderId="3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/>
    </xf>
    <xf numFmtId="0" fontId="0" fillId="0" borderId="61" xfId="0" applyBorder="1" applyAlignment="1">
      <alignment horizontal="right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7" fillId="6" borderId="31" xfId="0" applyNumberFormat="1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1" fontId="5" fillId="7" borderId="19" xfId="0" applyNumberFormat="1" applyFont="1" applyFill="1" applyBorder="1" applyAlignment="1">
      <alignment horizontal="center" vertical="center"/>
    </xf>
    <xf numFmtId="0" fontId="19" fillId="7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 wrapText="1"/>
    </xf>
    <xf numFmtId="0" fontId="0" fillId="0" borderId="0" xfId="0"/>
    <xf numFmtId="0" fontId="5" fillId="0" borderId="5" xfId="0" applyFont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5" borderId="5" xfId="0" applyNumberFormat="1" applyFont="1" applyFill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164" fontId="5" fillId="5" borderId="19" xfId="0" applyNumberFormat="1" applyFont="1" applyFill="1" applyBorder="1" applyAlignment="1">
      <alignment horizontal="center" vertical="center"/>
    </xf>
    <xf numFmtId="164" fontId="5" fillId="4" borderId="19" xfId="0" applyNumberFormat="1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64" fontId="5" fillId="5" borderId="9" xfId="0" applyNumberFormat="1" applyFont="1" applyFill="1" applyBorder="1" applyAlignment="1">
      <alignment horizontal="center" vertical="center"/>
    </xf>
    <xf numFmtId="14" fontId="5" fillId="0" borderId="19" xfId="0" applyNumberFormat="1" applyFont="1" applyBorder="1" applyAlignment="1">
      <alignment horizontal="center" vertical="center"/>
    </xf>
    <xf numFmtId="0" fontId="5" fillId="7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64" fontId="5" fillId="4" borderId="9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0" fillId="0" borderId="0" xfId="0" applyBorder="1"/>
    <xf numFmtId="0" fontId="5" fillId="7" borderId="9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0" fontId="19" fillId="7" borderId="19" xfId="0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164" fontId="5" fillId="7" borderId="39" xfId="0" applyNumberFormat="1" applyFont="1" applyFill="1" applyBorder="1" applyAlignment="1">
      <alignment horizontal="center" vertical="center"/>
    </xf>
    <xf numFmtId="164" fontId="5" fillId="7" borderId="38" xfId="0" applyNumberFormat="1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64" fontId="5" fillId="7" borderId="5" xfId="0" applyNumberFormat="1" applyFont="1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65" fontId="0" fillId="0" borderId="0" xfId="0" applyNumberFormat="1"/>
    <xf numFmtId="165" fontId="5" fillId="7" borderId="9" xfId="0" applyNumberFormat="1" applyFont="1" applyFill="1" applyBorder="1" applyAlignment="1">
      <alignment horizontal="center" vertical="center"/>
    </xf>
    <xf numFmtId="165" fontId="7" fillId="6" borderId="41" xfId="0" applyNumberFormat="1" applyFont="1" applyFill="1" applyBorder="1" applyAlignment="1">
      <alignment horizontal="center" vertical="center"/>
    </xf>
    <xf numFmtId="165" fontId="19" fillId="12" borderId="12" xfId="0" applyNumberFormat="1" applyFont="1" applyFill="1" applyBorder="1" applyAlignment="1">
      <alignment horizontal="center" vertical="center"/>
    </xf>
    <xf numFmtId="165" fontId="14" fillId="8" borderId="12" xfId="0" applyNumberFormat="1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14" fontId="5" fillId="7" borderId="19" xfId="0" applyNumberFormat="1" applyFont="1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5" fontId="5" fillId="7" borderId="19" xfId="0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64" fontId="5" fillId="0" borderId="39" xfId="0" applyNumberFormat="1" applyFont="1" applyBorder="1" applyAlignment="1">
      <alignment horizontal="center" vertical="center"/>
    </xf>
    <xf numFmtId="0" fontId="5" fillId="7" borderId="19" xfId="0" applyNumberFormat="1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7" fillId="6" borderId="49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19" fillId="0" borderId="10" xfId="0" applyFont="1" applyBorder="1" applyAlignment="1">
      <alignment horizontal="center" vertical="center"/>
    </xf>
    <xf numFmtId="14" fontId="5" fillId="0" borderId="10" xfId="0" applyNumberFormat="1" applyFont="1" applyBorder="1" applyAlignment="1">
      <alignment horizontal="center" vertical="center"/>
    </xf>
    <xf numFmtId="164" fontId="5" fillId="5" borderId="10" xfId="0" applyNumberFormat="1" applyFont="1" applyFill="1" applyBorder="1" applyAlignment="1">
      <alignment horizontal="center" vertical="center"/>
    </xf>
    <xf numFmtId="164" fontId="5" fillId="4" borderId="10" xfId="0" applyNumberFormat="1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7" borderId="5" xfId="0" applyNumberFormat="1" applyFont="1" applyFill="1" applyBorder="1" applyAlignment="1">
      <alignment horizontal="center" vertical="center"/>
    </xf>
    <xf numFmtId="164" fontId="5" fillId="7" borderId="10" xfId="0" applyNumberFormat="1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64" fontId="5" fillId="5" borderId="24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20" fontId="5" fillId="0" borderId="16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vertical="center"/>
    </xf>
    <xf numFmtId="20" fontId="5" fillId="0" borderId="5" xfId="0" applyNumberFormat="1" applyFont="1" applyBorder="1" applyAlignment="1">
      <alignment horizontal="center" vertical="center"/>
    </xf>
    <xf numFmtId="0" fontId="5" fillId="0" borderId="37" xfId="0" applyFont="1" applyBorder="1" applyAlignment="1">
      <alignment vertical="center"/>
    </xf>
    <xf numFmtId="20" fontId="5" fillId="0" borderId="9" xfId="0" applyNumberFormat="1" applyFont="1" applyBorder="1" applyAlignment="1">
      <alignment horizontal="center" vertical="center"/>
    </xf>
    <xf numFmtId="0" fontId="5" fillId="0" borderId="39" xfId="0" applyFont="1" applyBorder="1" applyAlignment="1">
      <alignment vertical="center"/>
    </xf>
    <xf numFmtId="1" fontId="5" fillId="6" borderId="9" xfId="0" applyNumberFormat="1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65" fontId="2" fillId="7" borderId="35" xfId="0" applyNumberFormat="1" applyFont="1" applyFill="1" applyBorder="1" applyAlignment="1">
      <alignment horizontal="center" vertical="center"/>
    </xf>
    <xf numFmtId="165" fontId="16" fillId="8" borderId="67" xfId="0" applyNumberFormat="1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 vertical="center"/>
    </xf>
    <xf numFmtId="1" fontId="5" fillId="6" borderId="9" xfId="0" applyNumberFormat="1" applyFont="1" applyFill="1" applyBorder="1" applyAlignment="1">
      <alignment horizontal="center" vertical="center" wrapText="1"/>
    </xf>
    <xf numFmtId="1" fontId="5" fillId="6" borderId="19" xfId="0" applyNumberFormat="1" applyFont="1" applyFill="1" applyBorder="1" applyAlignment="1">
      <alignment horizontal="center" vertical="center"/>
    </xf>
    <xf numFmtId="0" fontId="19" fillId="7" borderId="19" xfId="0" applyNumberFormat="1" applyFont="1" applyFill="1" applyBorder="1" applyAlignment="1">
      <alignment horizontal="center" vertical="center"/>
    </xf>
    <xf numFmtId="0" fontId="5" fillId="7" borderId="9" xfId="0" applyNumberFormat="1" applyFont="1" applyFill="1" applyBorder="1" applyAlignment="1">
      <alignment horizontal="center" vertical="center"/>
    </xf>
    <xf numFmtId="0" fontId="5" fillId="7" borderId="24" xfId="0" applyNumberFormat="1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20" fontId="5" fillId="0" borderId="19" xfId="0" applyNumberFormat="1" applyFont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" fillId="6" borderId="37" xfId="0" applyFont="1" applyFill="1" applyBorder="1" applyAlignment="1">
      <alignment horizontal="center" vertical="center"/>
    </xf>
    <xf numFmtId="0" fontId="5" fillId="7" borderId="10" xfId="0" applyNumberFormat="1" applyFont="1" applyFill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" fillId="9" borderId="12" xfId="0" applyFont="1" applyFill="1" applyBorder="1" applyAlignment="1">
      <alignment horizontal="left" vertical="center"/>
    </xf>
    <xf numFmtId="0" fontId="25" fillId="13" borderId="40" xfId="0" applyFont="1" applyFill="1" applyBorder="1" applyAlignment="1">
      <alignment horizontal="center" vertical="center"/>
    </xf>
    <xf numFmtId="0" fontId="25" fillId="13" borderId="0" xfId="0" applyFont="1" applyFill="1" applyAlignment="1">
      <alignment horizontal="center" vertical="center"/>
    </xf>
    <xf numFmtId="0" fontId="13" fillId="8" borderId="65" xfId="0" applyFont="1" applyFill="1" applyBorder="1" applyAlignment="1">
      <alignment horizontal="center"/>
    </xf>
    <xf numFmtId="0" fontId="13" fillId="8" borderId="66" xfId="0" applyFont="1" applyFill="1" applyBorder="1" applyAlignment="1">
      <alignment horizontal="center"/>
    </xf>
    <xf numFmtId="0" fontId="2" fillId="11" borderId="56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left" vertical="center"/>
    </xf>
    <xf numFmtId="0" fontId="9" fillId="3" borderId="11" xfId="0" applyFont="1" applyFill="1" applyBorder="1" applyAlignment="1">
      <alignment horizontal="left" vertical="center"/>
    </xf>
    <xf numFmtId="0" fontId="12" fillId="3" borderId="41" xfId="0" applyFont="1" applyFill="1" applyBorder="1" applyAlignment="1">
      <alignment horizontal="center"/>
    </xf>
    <xf numFmtId="0" fontId="12" fillId="3" borderId="47" xfId="0" applyFont="1" applyFill="1" applyBorder="1" applyAlignment="1">
      <alignment horizontal="center"/>
    </xf>
    <xf numFmtId="0" fontId="12" fillId="3" borderId="49" xfId="0" applyFont="1" applyFill="1" applyBorder="1" applyAlignment="1">
      <alignment horizontal="center"/>
    </xf>
    <xf numFmtId="0" fontId="7" fillId="3" borderId="48" xfId="0" applyFont="1" applyFill="1" applyBorder="1" applyAlignment="1">
      <alignment horizontal="center" vertical="center"/>
    </xf>
    <xf numFmtId="0" fontId="7" fillId="3" borderId="40" xfId="0" applyFont="1" applyFill="1" applyBorder="1" applyAlignment="1">
      <alignment horizontal="center" vertical="center"/>
    </xf>
    <xf numFmtId="0" fontId="7" fillId="3" borderId="44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0" fontId="18" fillId="7" borderId="0" xfId="0" applyFont="1" applyFill="1" applyBorder="1" applyAlignment="1">
      <alignment horizontal="center" vertical="center"/>
    </xf>
    <xf numFmtId="0" fontId="17" fillId="7" borderId="0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/>
    </xf>
    <xf numFmtId="0" fontId="18" fillId="12" borderId="3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/>
    </xf>
    <xf numFmtId="0" fontId="15" fillId="8" borderId="2" xfId="0" applyFont="1" applyFill="1" applyBorder="1" applyAlignment="1">
      <alignment horizontal="center"/>
    </xf>
    <xf numFmtId="0" fontId="15" fillId="8" borderId="3" xfId="0" applyFont="1" applyFill="1" applyBorder="1" applyAlignment="1">
      <alignment horizontal="center"/>
    </xf>
    <xf numFmtId="0" fontId="2" fillId="10" borderId="56" xfId="0" applyFont="1" applyFill="1" applyBorder="1" applyAlignment="1">
      <alignment horizontal="left" vertical="center"/>
    </xf>
    <xf numFmtId="0" fontId="2" fillId="14" borderId="63" xfId="0" applyFont="1" applyFill="1" applyBorder="1" applyAlignment="1">
      <alignment horizontal="left" vertical="center"/>
    </xf>
    <xf numFmtId="0" fontId="0" fillId="0" borderId="0" xfId="0" applyAlignment="1">
      <alignment horizontal="right"/>
    </xf>
    <xf numFmtId="0" fontId="0" fillId="0" borderId="43" xfId="0" applyBorder="1" applyAlignment="1">
      <alignment horizontal="right"/>
    </xf>
    <xf numFmtId="0" fontId="0" fillId="0" borderId="0" xfId="0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18" xfId="0" applyNumberFormat="1" applyFont="1" applyFill="1" applyBorder="1" applyAlignment="1">
      <alignment horizontal="center" vertical="center" wrapText="1"/>
    </xf>
    <xf numFmtId="164" fontId="1" fillId="2" borderId="24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165" fontId="23" fillId="2" borderId="4" xfId="0" applyNumberFormat="1" applyFont="1" applyFill="1" applyBorder="1" applyAlignment="1">
      <alignment horizontal="center" vertical="center" wrapText="1"/>
    </xf>
    <xf numFmtId="165" fontId="23" fillId="2" borderId="14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6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wrapText="1"/>
    </xf>
    <xf numFmtId="0" fontId="1" fillId="2" borderId="24" xfId="0" applyFont="1" applyFill="1" applyBorder="1" applyAlignment="1">
      <alignment horizontal="center" wrapText="1"/>
    </xf>
    <xf numFmtId="14" fontId="1" fillId="7" borderId="26" xfId="0" applyNumberFormat="1" applyFont="1" applyFill="1" applyBorder="1" applyAlignment="1">
      <alignment horizontal="center" vertical="center"/>
    </xf>
    <xf numFmtId="14" fontId="1" fillId="7" borderId="29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7" borderId="58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7" borderId="38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14" fontId="1" fillId="12" borderId="26" xfId="0" applyNumberFormat="1" applyFont="1" applyFill="1" applyBorder="1" applyAlignment="1">
      <alignment horizontal="center" vertical="center"/>
    </xf>
    <xf numFmtId="14" fontId="1" fillId="12" borderId="29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4" fontId="1" fillId="0" borderId="26" xfId="0" applyNumberFormat="1" applyFont="1" applyBorder="1" applyAlignment="1">
      <alignment horizontal="center" vertical="center"/>
    </xf>
    <xf numFmtId="14" fontId="1" fillId="0" borderId="32" xfId="0" applyNumberFormat="1" applyFont="1" applyBorder="1" applyAlignment="1">
      <alignment horizontal="center" vertical="center"/>
    </xf>
    <xf numFmtId="20" fontId="0" fillId="0" borderId="38" xfId="0" applyNumberFormat="1" applyBorder="1" applyAlignment="1">
      <alignment horizontal="center" vertical="center"/>
    </xf>
    <xf numFmtId="20" fontId="0" fillId="7" borderId="38" xfId="0" applyNumberFormat="1" applyFill="1" applyBorder="1" applyAlignment="1">
      <alignment horizontal="center" vertical="center"/>
    </xf>
    <xf numFmtId="0" fontId="9" fillId="6" borderId="57" xfId="0" applyFont="1" applyFill="1" applyBorder="1" applyAlignment="1">
      <alignment horizontal="center" vertical="center"/>
    </xf>
    <xf numFmtId="0" fontId="9" fillId="6" borderId="31" xfId="0" applyFont="1" applyFill="1" applyBorder="1" applyAlignment="1">
      <alignment horizontal="center" vertical="center"/>
    </xf>
    <xf numFmtId="0" fontId="9" fillId="6" borderId="46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center" vertical="center"/>
    </xf>
    <xf numFmtId="0" fontId="9" fillId="6" borderId="43" xfId="0" applyFont="1" applyFill="1" applyBorder="1" applyAlignment="1">
      <alignment horizontal="center" vertical="center"/>
    </xf>
    <xf numFmtId="0" fontId="9" fillId="6" borderId="41" xfId="0" applyFont="1" applyFill="1" applyBorder="1" applyAlignment="1">
      <alignment horizontal="center" vertical="center"/>
    </xf>
    <xf numFmtId="0" fontId="9" fillId="6" borderId="47" xfId="0" applyFont="1" applyFill="1" applyBorder="1" applyAlignment="1">
      <alignment horizontal="center" vertical="center"/>
    </xf>
    <xf numFmtId="0" fontId="9" fillId="6" borderId="49" xfId="0" applyFont="1" applyFill="1" applyBorder="1" applyAlignment="1">
      <alignment horizontal="center" vertical="center"/>
    </xf>
    <xf numFmtId="0" fontId="0" fillId="7" borderId="39" xfId="0" applyFill="1" applyBorder="1" applyAlignment="1">
      <alignment horizontal="center" vertical="center"/>
    </xf>
    <xf numFmtId="0" fontId="0" fillId="7" borderId="69" xfId="0" applyFill="1" applyBorder="1" applyAlignment="1">
      <alignment horizontal="center" vertical="center"/>
    </xf>
    <xf numFmtId="0" fontId="0" fillId="7" borderId="45" xfId="0" applyFill="1" applyBorder="1" applyAlignment="1">
      <alignment horizontal="center" vertical="center"/>
    </xf>
    <xf numFmtId="0" fontId="22" fillId="8" borderId="56" xfId="0" applyFont="1" applyFill="1" applyBorder="1" applyAlignment="1">
      <alignment horizontal="center" vertical="center"/>
    </xf>
    <xf numFmtId="0" fontId="22" fillId="8" borderId="31" xfId="0" applyFont="1" applyFill="1" applyBorder="1" applyAlignment="1">
      <alignment horizontal="center" vertical="center"/>
    </xf>
    <xf numFmtId="14" fontId="1" fillId="12" borderId="32" xfId="0" applyNumberFormat="1" applyFont="1" applyFill="1" applyBorder="1" applyAlignment="1">
      <alignment horizontal="center" vertical="center"/>
    </xf>
    <xf numFmtId="0" fontId="26" fillId="0" borderId="46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6" fillId="6" borderId="60" xfId="0" applyFont="1" applyFill="1" applyBorder="1" applyAlignment="1">
      <alignment horizontal="center" vertical="center" wrapText="1"/>
    </xf>
    <xf numFmtId="0" fontId="6" fillId="6" borderId="59" xfId="0" applyFont="1" applyFill="1" applyBorder="1" applyAlignment="1">
      <alignment horizontal="center" vertical="center" wrapText="1"/>
    </xf>
    <xf numFmtId="0" fontId="6" fillId="6" borderId="6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5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180974</xdr:rowOff>
    </xdr:from>
    <xdr:to>
      <xdr:col>2</xdr:col>
      <xdr:colOff>533400</xdr:colOff>
      <xdr:row>4</xdr:row>
      <xdr:rowOff>77321</xdr:rowOff>
    </xdr:to>
    <xdr:pic>
      <xdr:nvPicPr>
        <xdr:cNvPr id="2" name="Imagen 3">
          <a:extLst>
            <a:ext uri="{FF2B5EF4-FFF2-40B4-BE49-F238E27FC236}">
              <a16:creationId xmlns="" xmlns:a16="http://schemas.microsoft.com/office/drawing/2014/main" id="{FD3FC784-BF1E-B9E5-50E7-E3B564E93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80974"/>
          <a:ext cx="1952625" cy="1010211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149088</xdr:colOff>
      <xdr:row>0</xdr:row>
      <xdr:rowOff>132522</xdr:rowOff>
    </xdr:from>
    <xdr:to>
      <xdr:col>2</xdr:col>
      <xdr:colOff>568191</xdr:colOff>
      <xdr:row>4</xdr:row>
      <xdr:rowOff>102041</xdr:rowOff>
    </xdr:to>
    <xdr:pic>
      <xdr:nvPicPr>
        <xdr:cNvPr id="2" name="Imagen 3">
          <a:extLst>
            <a:ext uri="{FF2B5EF4-FFF2-40B4-BE49-F238E27FC236}">
              <a16:creationId xmlns="" xmlns:a16="http://schemas.microsoft.com/office/drawing/2014/main" id="{FD3FC784-BF1E-B9E5-50E7-E3B564E93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088" y="132522"/>
          <a:ext cx="1696991" cy="877956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180975</xdr:rowOff>
    </xdr:from>
    <xdr:to>
      <xdr:col>3</xdr:col>
      <xdr:colOff>200025</xdr:colOff>
      <xdr:row>4</xdr:row>
      <xdr:rowOff>129611</xdr:rowOff>
    </xdr:to>
    <xdr:pic>
      <xdr:nvPicPr>
        <xdr:cNvPr id="2" name="Imagen 3">
          <a:extLst>
            <a:ext uri="{FF2B5EF4-FFF2-40B4-BE49-F238E27FC236}">
              <a16:creationId xmlns="" xmlns:a16="http://schemas.microsoft.com/office/drawing/2014/main" id="{FD3FC784-BF1E-B9E5-50E7-E3B564E93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0975"/>
          <a:ext cx="1704975" cy="882086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9525</xdr:rowOff>
    </xdr:from>
    <xdr:to>
      <xdr:col>3</xdr:col>
      <xdr:colOff>9525</xdr:colOff>
      <xdr:row>4</xdr:row>
      <xdr:rowOff>143985</xdr:rowOff>
    </xdr:to>
    <xdr:pic>
      <xdr:nvPicPr>
        <xdr:cNvPr id="2" name="Imagen 3">
          <a:extLst>
            <a:ext uri="{FF2B5EF4-FFF2-40B4-BE49-F238E27FC236}">
              <a16:creationId xmlns="" xmlns:a16="http://schemas.microsoft.com/office/drawing/2014/main" id="{FD3FC784-BF1E-B9E5-50E7-E3B564E93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00025"/>
          <a:ext cx="1600200" cy="82788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9525</xdr:rowOff>
    </xdr:from>
    <xdr:to>
      <xdr:col>3</xdr:col>
      <xdr:colOff>0</xdr:colOff>
      <xdr:row>4</xdr:row>
      <xdr:rowOff>143985</xdr:rowOff>
    </xdr:to>
    <xdr:pic>
      <xdr:nvPicPr>
        <xdr:cNvPr id="2" name="Imagen 3">
          <a:extLst>
            <a:ext uri="{FF2B5EF4-FFF2-40B4-BE49-F238E27FC236}">
              <a16:creationId xmlns="" xmlns:a16="http://schemas.microsoft.com/office/drawing/2014/main" id="{FD3FC784-BF1E-B9E5-50E7-E3B564E93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" y="192405"/>
          <a:ext cx="1645920" cy="80502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434068</xdr:colOff>
      <xdr:row>3</xdr:row>
      <xdr:rowOff>50025</xdr:rowOff>
    </xdr:to>
    <xdr:pic>
      <xdr:nvPicPr>
        <xdr:cNvPr id="2" name="Imagen 3">
          <a:extLst>
            <a:ext uri="{FF2B5EF4-FFF2-40B4-BE49-F238E27FC236}">
              <a16:creationId xmlns="" xmlns:a16="http://schemas.microsoft.com/office/drawing/2014/main" id="{FD3FC784-BF1E-B9E5-50E7-E3B564E93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23035" cy="59866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L24"/>
  <sheetViews>
    <sheetView showGridLines="0" tabSelected="1" topLeftCell="A4" zoomScale="85" zoomScaleNormal="85" workbookViewId="0">
      <selection activeCell="G19" sqref="G19"/>
    </sheetView>
  </sheetViews>
  <sheetFormatPr baseColWidth="10" defaultRowHeight="15" x14ac:dyDescent="0.25"/>
  <cols>
    <col min="4" max="4" width="22.140625" bestFit="1" customWidth="1"/>
    <col min="5" max="5" width="13" customWidth="1"/>
    <col min="8" max="8" width="11.42578125" customWidth="1"/>
    <col min="9" max="9" width="13.7109375" customWidth="1"/>
    <col min="12" max="12" width="11.42578125" customWidth="1"/>
  </cols>
  <sheetData>
    <row r="1" spans="1:12" ht="15.75" thickBot="1" x14ac:dyDescent="0.3"/>
    <row r="2" spans="1:12" ht="32.25" thickBot="1" x14ac:dyDescent="0.3">
      <c r="D2" s="169" t="s">
        <v>16</v>
      </c>
      <c r="E2" s="170"/>
      <c r="F2" s="170"/>
      <c r="G2" s="170"/>
      <c r="H2" s="170"/>
      <c r="I2" s="170"/>
      <c r="J2" s="170"/>
      <c r="K2" s="170"/>
      <c r="L2" s="171"/>
    </row>
    <row r="3" spans="1:12" ht="24" thickBot="1" x14ac:dyDescent="0.3">
      <c r="D3" s="172" t="s">
        <v>17</v>
      </c>
      <c r="E3" s="173"/>
      <c r="F3" s="174" t="s">
        <v>18</v>
      </c>
      <c r="G3" s="174"/>
      <c r="H3" s="174"/>
      <c r="I3" s="174"/>
      <c r="J3" s="174"/>
      <c r="K3" s="174"/>
      <c r="L3" s="175"/>
    </row>
    <row r="4" spans="1:12" ht="15.75" thickBot="1" x14ac:dyDescent="0.3"/>
    <row r="5" spans="1:12" ht="21" x14ac:dyDescent="0.25">
      <c r="D5" s="13"/>
      <c r="E5" s="34" t="s">
        <v>19</v>
      </c>
      <c r="F5" s="179" t="s">
        <v>61</v>
      </c>
      <c r="G5" s="180"/>
      <c r="H5" s="180"/>
      <c r="I5" s="181"/>
      <c r="J5" s="13"/>
      <c r="K5" s="13"/>
      <c r="L5" s="13"/>
    </row>
    <row r="6" spans="1:12" ht="19.5" thickBot="1" x14ac:dyDescent="0.35">
      <c r="F6" s="176" t="s">
        <v>62</v>
      </c>
      <c r="G6" s="177"/>
      <c r="H6" s="177"/>
      <c r="I6" s="178"/>
    </row>
    <row r="8" spans="1:12" ht="15.75" thickBot="1" x14ac:dyDescent="0.3"/>
    <row r="9" spans="1:12" ht="27" thickBot="1" x14ac:dyDescent="0.4">
      <c r="A9" s="190" t="s">
        <v>23</v>
      </c>
      <c r="B9" s="191"/>
      <c r="C9" s="192"/>
      <c r="D9" s="14" t="s">
        <v>21</v>
      </c>
      <c r="G9" s="182" t="s">
        <v>29</v>
      </c>
      <c r="H9" s="183"/>
      <c r="I9" s="184"/>
      <c r="J9" s="27">
        <f>TRAFIC!E2</f>
        <v>94</v>
      </c>
    </row>
    <row r="10" spans="1:12" ht="21" customHeight="1" thickBot="1" x14ac:dyDescent="0.3">
      <c r="A10" s="193" t="s">
        <v>20</v>
      </c>
      <c r="B10" s="193"/>
      <c r="C10" s="193"/>
      <c r="D10" s="149">
        <f>'RECORRIDO CIUDAD'!G3</f>
        <v>5476.7283333333344</v>
      </c>
      <c r="F10" s="68"/>
    </row>
    <row r="11" spans="1:12" ht="19.5" thickBot="1" x14ac:dyDescent="0.35">
      <c r="A11" s="168" t="s">
        <v>11</v>
      </c>
      <c r="B11" s="168"/>
      <c r="C11" s="168"/>
      <c r="D11" s="15">
        <f>CADETERIA!G3</f>
        <v>165.62</v>
      </c>
    </row>
    <row r="12" spans="1:12" s="13" customFormat="1" ht="19.5" thickBot="1" x14ac:dyDescent="0.35">
      <c r="A12" s="163" t="s">
        <v>7</v>
      </c>
      <c r="B12" s="163"/>
      <c r="C12" s="163"/>
      <c r="D12" s="15">
        <f>'JUSTO DARACT'!H3</f>
        <v>1757</v>
      </c>
    </row>
    <row r="13" spans="1:12" s="68" customFormat="1" ht="19.5" thickBot="1" x14ac:dyDescent="0.35">
      <c r="A13" s="194" t="s">
        <v>42</v>
      </c>
      <c r="B13" s="194"/>
      <c r="C13" s="194"/>
      <c r="D13" s="15">
        <f>'SAN LUIS'!H3</f>
        <v>757.66</v>
      </c>
    </row>
    <row r="14" spans="1:12" ht="27" thickBot="1" x14ac:dyDescent="0.45">
      <c r="B14" s="166" t="s">
        <v>22</v>
      </c>
      <c r="C14" s="167"/>
      <c r="D14" s="150">
        <f>SUM(D10:D13)</f>
        <v>8157.0083333333341</v>
      </c>
    </row>
    <row r="15" spans="1:12" ht="15.75" thickTop="1" x14ac:dyDescent="0.25"/>
    <row r="18" spans="1:4" ht="18.75" x14ac:dyDescent="0.25">
      <c r="A18" s="185"/>
      <c r="B18" s="185"/>
      <c r="C18" s="185"/>
      <c r="D18" s="185"/>
    </row>
    <row r="19" spans="1:4" x14ac:dyDescent="0.25">
      <c r="A19" s="26"/>
      <c r="B19" s="186"/>
      <c r="C19" s="186"/>
      <c r="D19" s="26"/>
    </row>
    <row r="20" spans="1:4" x14ac:dyDescent="0.25">
      <c r="A20" s="26"/>
      <c r="B20" s="186"/>
      <c r="C20" s="186"/>
      <c r="D20" s="26"/>
    </row>
    <row r="21" spans="1:4" ht="15.75" thickBot="1" x14ac:dyDescent="0.3"/>
    <row r="22" spans="1:4" ht="19.5" thickBot="1" x14ac:dyDescent="0.3">
      <c r="A22" s="187" t="s">
        <v>27</v>
      </c>
      <c r="B22" s="188"/>
      <c r="C22" s="188"/>
      <c r="D22" s="189"/>
    </row>
    <row r="23" spans="1:4" ht="16.5" customHeight="1" x14ac:dyDescent="0.25">
      <c r="A23" s="164" t="s">
        <v>517</v>
      </c>
      <c r="B23" s="164"/>
      <c r="C23" s="164"/>
      <c r="D23" s="164"/>
    </row>
    <row r="24" spans="1:4" x14ac:dyDescent="0.25">
      <c r="A24" s="165"/>
      <c r="B24" s="165"/>
      <c r="C24" s="165"/>
      <c r="D24" s="165"/>
    </row>
  </sheetData>
  <mergeCells count="16">
    <mergeCell ref="A12:C12"/>
    <mergeCell ref="A23:D24"/>
    <mergeCell ref="B14:C14"/>
    <mergeCell ref="A11:C11"/>
    <mergeCell ref="D2:L2"/>
    <mergeCell ref="D3:E3"/>
    <mergeCell ref="F3:L3"/>
    <mergeCell ref="F6:I6"/>
    <mergeCell ref="F5:I5"/>
    <mergeCell ref="G9:I9"/>
    <mergeCell ref="A18:D18"/>
    <mergeCell ref="B19:C20"/>
    <mergeCell ref="A22:D22"/>
    <mergeCell ref="A9:C9"/>
    <mergeCell ref="A10:C10"/>
    <mergeCell ref="A13:C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L589"/>
  <sheetViews>
    <sheetView showGridLines="0" topLeftCell="A540" zoomScale="55" zoomScaleNormal="55" workbookViewId="0">
      <selection activeCell="G571" sqref="G571"/>
    </sheetView>
  </sheetViews>
  <sheetFormatPr baseColWidth="10" defaultColWidth="11.42578125" defaultRowHeight="15.75" x14ac:dyDescent="0.25"/>
  <cols>
    <col min="1" max="1" width="5" style="4" bestFit="1" customWidth="1"/>
    <col min="2" max="2" width="14" style="28" bestFit="1" customWidth="1"/>
    <col min="3" max="5" width="11.42578125" style="1"/>
    <col min="6" max="6" width="12.7109375" style="101" customWidth="1"/>
    <col min="7" max="7" width="49.5703125" style="13" bestFit="1" customWidth="1"/>
    <col min="8" max="8" width="12.5703125" style="35" customWidth="1"/>
    <col min="9" max="9" width="14.28515625" style="123" customWidth="1"/>
    <col min="10" max="10" width="11.42578125" style="13"/>
    <col min="11" max="11" width="48.28515625" style="1" bestFit="1" customWidth="1"/>
    <col min="12" max="12" width="23.85546875" style="1" bestFit="1" customWidth="1"/>
    <col min="13" max="16384" width="11.42578125" style="1"/>
  </cols>
  <sheetData>
    <row r="2" spans="1:12" ht="16.5" thickBot="1" x14ac:dyDescent="0.3"/>
    <row r="3" spans="1:12" ht="19.5" customHeight="1" thickBot="1" x14ac:dyDescent="0.3">
      <c r="E3" s="210" t="s">
        <v>14</v>
      </c>
      <c r="F3" s="212"/>
      <c r="G3" s="207">
        <f>F559</f>
        <v>5476.7283333333344</v>
      </c>
      <c r="H3" s="208"/>
      <c r="I3" s="208"/>
      <c r="J3" s="209"/>
    </row>
    <row r="4" spans="1:12" ht="18.75" x14ac:dyDescent="0.25">
      <c r="E4" s="210" t="s">
        <v>15</v>
      </c>
      <c r="F4" s="212"/>
      <c r="G4" s="210"/>
      <c r="H4" s="211"/>
      <c r="I4" s="211"/>
      <c r="J4" s="212"/>
    </row>
    <row r="6" spans="1:12" ht="16.5" thickBot="1" x14ac:dyDescent="0.3"/>
    <row r="7" spans="1:12" ht="15" x14ac:dyDescent="0.25">
      <c r="A7" s="201" t="s">
        <v>13</v>
      </c>
      <c r="B7" s="213" t="s">
        <v>0</v>
      </c>
      <c r="C7" s="215" t="s">
        <v>1</v>
      </c>
      <c r="D7" s="217" t="s">
        <v>2</v>
      </c>
      <c r="E7" s="217"/>
      <c r="F7" s="218" t="s">
        <v>3</v>
      </c>
      <c r="G7" s="32" t="s">
        <v>25</v>
      </c>
      <c r="H7" s="203" t="s">
        <v>30</v>
      </c>
      <c r="I7" s="203" t="s">
        <v>53</v>
      </c>
      <c r="J7" s="199" t="s">
        <v>32</v>
      </c>
      <c r="K7" s="199" t="s">
        <v>4</v>
      </c>
      <c r="L7" s="199" t="s">
        <v>8</v>
      </c>
    </row>
    <row r="8" spans="1:12" thickBot="1" x14ac:dyDescent="0.3">
      <c r="A8" s="202"/>
      <c r="B8" s="214"/>
      <c r="C8" s="216"/>
      <c r="D8" s="3" t="s">
        <v>5</v>
      </c>
      <c r="E8" s="2" t="s">
        <v>6</v>
      </c>
      <c r="F8" s="219"/>
      <c r="G8" s="33"/>
      <c r="H8" s="204"/>
      <c r="I8" s="204"/>
      <c r="J8" s="200"/>
      <c r="K8" s="200"/>
      <c r="L8" s="200"/>
    </row>
    <row r="9" spans="1:12" s="68" customFormat="1" ht="15" x14ac:dyDescent="0.25">
      <c r="A9" s="46">
        <v>1</v>
      </c>
      <c r="B9" s="92">
        <v>133949</v>
      </c>
      <c r="C9" s="72">
        <v>46385</v>
      </c>
      <c r="D9" s="71">
        <v>0.25</v>
      </c>
      <c r="E9" s="70"/>
      <c r="F9" s="69">
        <v>8.5</v>
      </c>
      <c r="G9" s="84" t="s">
        <v>174</v>
      </c>
      <c r="H9" s="97">
        <v>0.24305555555555555</v>
      </c>
      <c r="I9" s="86" t="s">
        <v>55</v>
      </c>
      <c r="J9" s="86"/>
      <c r="K9" s="30"/>
      <c r="L9" s="19" t="s">
        <v>10</v>
      </c>
    </row>
    <row r="10" spans="1:12" s="68" customFormat="1" ht="15" x14ac:dyDescent="0.25">
      <c r="A10" s="46">
        <v>2</v>
      </c>
      <c r="B10" s="92">
        <v>133950</v>
      </c>
      <c r="C10" s="72">
        <v>46385</v>
      </c>
      <c r="D10" s="71">
        <v>0.29166666666666669</v>
      </c>
      <c r="E10" s="70"/>
      <c r="F10" s="69">
        <v>9.3000000000000007</v>
      </c>
      <c r="G10" s="84" t="s">
        <v>175</v>
      </c>
      <c r="H10" s="97">
        <v>0.28402777777777777</v>
      </c>
      <c r="I10" s="86" t="s">
        <v>55</v>
      </c>
      <c r="J10" s="86"/>
      <c r="K10" s="30"/>
      <c r="L10" s="19" t="s">
        <v>10</v>
      </c>
    </row>
    <row r="11" spans="1:12" s="68" customFormat="1" ht="15" x14ac:dyDescent="0.25">
      <c r="A11" s="46">
        <v>3</v>
      </c>
      <c r="B11" s="92">
        <v>133951</v>
      </c>
      <c r="C11" s="72">
        <v>46385</v>
      </c>
      <c r="D11" s="71">
        <v>0.58333333333333337</v>
      </c>
      <c r="E11" s="70"/>
      <c r="F11" s="69">
        <v>9.5</v>
      </c>
      <c r="G11" s="84" t="s">
        <v>176</v>
      </c>
      <c r="H11" s="97">
        <v>0.57361111111111118</v>
      </c>
      <c r="I11" s="86" t="s">
        <v>55</v>
      </c>
      <c r="J11" s="86"/>
      <c r="K11" s="30"/>
      <c r="L11" s="19" t="s">
        <v>10</v>
      </c>
    </row>
    <row r="12" spans="1:12" s="68" customFormat="1" ht="15" x14ac:dyDescent="0.25">
      <c r="A12" s="46">
        <v>4</v>
      </c>
      <c r="B12" s="92">
        <v>133952</v>
      </c>
      <c r="C12" s="72">
        <v>46379</v>
      </c>
      <c r="D12" s="71">
        <v>0.625</v>
      </c>
      <c r="E12" s="70"/>
      <c r="F12" s="69">
        <v>9</v>
      </c>
      <c r="G12" s="84" t="s">
        <v>109</v>
      </c>
      <c r="H12" s="97">
        <v>0.61944444444444446</v>
      </c>
      <c r="I12" s="86" t="s">
        <v>55</v>
      </c>
      <c r="J12" s="86"/>
      <c r="K12" s="30"/>
      <c r="L12" s="19" t="s">
        <v>10</v>
      </c>
    </row>
    <row r="13" spans="1:12" s="68" customFormat="1" ht="15" x14ac:dyDescent="0.25">
      <c r="A13" s="46">
        <v>5</v>
      </c>
      <c r="B13" s="92">
        <v>133953</v>
      </c>
      <c r="C13" s="72">
        <v>46051</v>
      </c>
      <c r="D13" s="71"/>
      <c r="E13" s="70">
        <v>0.625</v>
      </c>
      <c r="F13" s="69">
        <v>14.1</v>
      </c>
      <c r="G13" s="84" t="s">
        <v>177</v>
      </c>
      <c r="H13" s="97"/>
      <c r="I13" s="86" t="s">
        <v>54</v>
      </c>
      <c r="J13" s="86"/>
      <c r="K13" s="30"/>
      <c r="L13" s="19" t="s">
        <v>10</v>
      </c>
    </row>
    <row r="14" spans="1:12" s="68" customFormat="1" ht="15" x14ac:dyDescent="0.25">
      <c r="A14" s="46">
        <v>6</v>
      </c>
      <c r="B14" s="92">
        <v>133954</v>
      </c>
      <c r="C14" s="72">
        <v>46385</v>
      </c>
      <c r="D14" s="71"/>
      <c r="E14" s="70">
        <v>0.66666666666666663</v>
      </c>
      <c r="F14" s="69">
        <v>9</v>
      </c>
      <c r="G14" s="84" t="s">
        <v>178</v>
      </c>
      <c r="H14" s="97"/>
      <c r="I14" s="86" t="s">
        <v>54</v>
      </c>
      <c r="J14" s="86"/>
      <c r="K14" s="30"/>
      <c r="L14" s="19" t="s">
        <v>10</v>
      </c>
    </row>
    <row r="15" spans="1:12" s="68" customFormat="1" ht="15" x14ac:dyDescent="0.25">
      <c r="A15" s="46">
        <v>7</v>
      </c>
      <c r="B15" s="92">
        <v>133686</v>
      </c>
      <c r="C15" s="72">
        <v>46021</v>
      </c>
      <c r="D15" s="71"/>
      <c r="E15" s="70">
        <v>0.25</v>
      </c>
      <c r="F15" s="69">
        <v>14.5</v>
      </c>
      <c r="G15" s="84" t="s">
        <v>64</v>
      </c>
      <c r="H15" s="97"/>
      <c r="I15" s="86" t="s">
        <v>54</v>
      </c>
      <c r="J15" s="86"/>
      <c r="K15" s="30"/>
      <c r="L15" s="19" t="s">
        <v>10</v>
      </c>
    </row>
    <row r="16" spans="1:12" s="68" customFormat="1" ht="15" x14ac:dyDescent="0.25">
      <c r="A16" s="46">
        <v>8</v>
      </c>
      <c r="B16" s="92">
        <v>133687</v>
      </c>
      <c r="C16" s="72">
        <v>46021</v>
      </c>
      <c r="D16" s="71">
        <v>0.29166666666666669</v>
      </c>
      <c r="E16" s="70"/>
      <c r="F16" s="69">
        <v>9.3000000000000007</v>
      </c>
      <c r="G16" s="84" t="s">
        <v>65</v>
      </c>
      <c r="H16" s="97">
        <v>0.28402777777777777</v>
      </c>
      <c r="I16" s="86" t="s">
        <v>55</v>
      </c>
      <c r="J16" s="86"/>
      <c r="K16" s="30"/>
      <c r="L16" s="19" t="s">
        <v>10</v>
      </c>
    </row>
    <row r="17" spans="1:12" s="68" customFormat="1" ht="15" x14ac:dyDescent="0.25">
      <c r="A17" s="46">
        <v>9</v>
      </c>
      <c r="B17" s="92">
        <v>133688</v>
      </c>
      <c r="C17" s="72">
        <v>46021</v>
      </c>
      <c r="D17" s="71">
        <v>0.375</v>
      </c>
      <c r="E17" s="70"/>
      <c r="F17" s="69">
        <v>7</v>
      </c>
      <c r="G17" s="84" t="s">
        <v>66</v>
      </c>
      <c r="H17" s="97">
        <v>0.36805555555555558</v>
      </c>
      <c r="I17" s="86" t="s">
        <v>55</v>
      </c>
      <c r="J17" s="86"/>
      <c r="K17" s="30"/>
      <c r="L17" s="19" t="s">
        <v>10</v>
      </c>
    </row>
    <row r="18" spans="1:12" s="68" customFormat="1" ht="15" x14ac:dyDescent="0.25">
      <c r="A18" s="46">
        <v>10</v>
      </c>
      <c r="B18" s="89">
        <v>133689</v>
      </c>
      <c r="C18" s="82">
        <v>46021</v>
      </c>
      <c r="D18" s="71"/>
      <c r="E18" s="70">
        <v>0.375</v>
      </c>
      <c r="F18" s="81">
        <v>10</v>
      </c>
      <c r="G18" s="81" t="s">
        <v>67</v>
      </c>
      <c r="H18" s="94"/>
      <c r="I18" s="94" t="s">
        <v>54</v>
      </c>
      <c r="J18" s="86"/>
      <c r="K18" s="30"/>
      <c r="L18" s="19" t="s">
        <v>10</v>
      </c>
    </row>
    <row r="19" spans="1:12" s="68" customFormat="1" ht="15" x14ac:dyDescent="0.25">
      <c r="A19" s="46">
        <v>11</v>
      </c>
      <c r="B19" s="89">
        <v>133697</v>
      </c>
      <c r="C19" s="82">
        <v>46021</v>
      </c>
      <c r="D19" s="71"/>
      <c r="E19" s="70">
        <v>8.3333333333333329E-2</v>
      </c>
      <c r="F19" s="81">
        <v>8.8000000000000007</v>
      </c>
      <c r="G19" s="81" t="s">
        <v>72</v>
      </c>
      <c r="H19" s="94"/>
      <c r="I19" s="94" t="s">
        <v>54</v>
      </c>
      <c r="J19" s="86"/>
      <c r="K19" s="30"/>
      <c r="L19" s="19" t="s">
        <v>10</v>
      </c>
    </row>
    <row r="20" spans="1:12" s="68" customFormat="1" ht="15" x14ac:dyDescent="0.25">
      <c r="A20" s="46">
        <v>12</v>
      </c>
      <c r="B20" s="89">
        <v>133691</v>
      </c>
      <c r="C20" s="82">
        <v>46027</v>
      </c>
      <c r="D20" s="71">
        <v>0.20833333333333334</v>
      </c>
      <c r="E20" s="70"/>
      <c r="F20" s="81">
        <v>10.8</v>
      </c>
      <c r="G20" s="81" t="s">
        <v>68</v>
      </c>
      <c r="H20" s="94">
        <v>0.19375000000000001</v>
      </c>
      <c r="I20" s="94" t="s">
        <v>55</v>
      </c>
      <c r="J20" s="88"/>
      <c r="K20" s="30"/>
      <c r="L20" s="19" t="s">
        <v>10</v>
      </c>
    </row>
    <row r="21" spans="1:12" s="68" customFormat="1" ht="15" x14ac:dyDescent="0.25">
      <c r="A21" s="46">
        <v>13</v>
      </c>
      <c r="B21" s="89">
        <v>133693</v>
      </c>
      <c r="C21" s="82">
        <v>46027</v>
      </c>
      <c r="D21" s="71">
        <v>0.29166666666666669</v>
      </c>
      <c r="E21" s="70"/>
      <c r="F21" s="81">
        <v>11</v>
      </c>
      <c r="G21" s="81" t="s">
        <v>69</v>
      </c>
      <c r="H21" s="94">
        <v>0.28680555555555554</v>
      </c>
      <c r="I21" s="94" t="s">
        <v>55</v>
      </c>
      <c r="J21" s="88"/>
      <c r="K21" s="30"/>
      <c r="L21" s="19" t="s">
        <v>10</v>
      </c>
    </row>
    <row r="22" spans="1:12" s="68" customFormat="1" ht="15" x14ac:dyDescent="0.25">
      <c r="A22" s="46">
        <v>14</v>
      </c>
      <c r="B22" s="89">
        <v>133694</v>
      </c>
      <c r="C22" s="82">
        <v>46027</v>
      </c>
      <c r="D22" s="71"/>
      <c r="E22" s="70">
        <v>0.95833333333333337</v>
      </c>
      <c r="F22" s="81">
        <v>10.8</v>
      </c>
      <c r="G22" s="81" t="s">
        <v>59</v>
      </c>
      <c r="H22" s="94"/>
      <c r="I22" s="94" t="s">
        <v>54</v>
      </c>
      <c r="J22" s="88"/>
      <c r="K22" s="30"/>
      <c r="L22" s="19" t="s">
        <v>10</v>
      </c>
    </row>
    <row r="23" spans="1:12" s="68" customFormat="1" ht="15" x14ac:dyDescent="0.25">
      <c r="A23" s="46">
        <v>15</v>
      </c>
      <c r="B23" s="89">
        <v>133695</v>
      </c>
      <c r="C23" s="82">
        <v>46028</v>
      </c>
      <c r="D23" s="71"/>
      <c r="E23" s="70">
        <v>0</v>
      </c>
      <c r="F23" s="81">
        <v>7</v>
      </c>
      <c r="G23" s="81" t="s">
        <v>70</v>
      </c>
      <c r="H23" s="94"/>
      <c r="I23" s="94" t="s">
        <v>54</v>
      </c>
      <c r="J23" s="88"/>
      <c r="K23" s="30"/>
      <c r="L23" s="19" t="s">
        <v>10</v>
      </c>
    </row>
    <row r="24" spans="1:12" s="68" customFormat="1" ht="15" x14ac:dyDescent="0.25">
      <c r="A24" s="46">
        <v>16</v>
      </c>
      <c r="B24" s="89">
        <v>133696</v>
      </c>
      <c r="C24" s="45">
        <v>46028</v>
      </c>
      <c r="D24" s="71"/>
      <c r="E24" s="70">
        <v>4.1666666666666664E-2</v>
      </c>
      <c r="F24" s="102">
        <v>11.5</v>
      </c>
      <c r="G24" s="88" t="s">
        <v>71</v>
      </c>
      <c r="H24" s="94"/>
      <c r="I24" s="94" t="s">
        <v>54</v>
      </c>
      <c r="J24" s="88"/>
      <c r="K24" s="97"/>
      <c r="L24" s="19" t="s">
        <v>10</v>
      </c>
    </row>
    <row r="25" spans="1:12" s="68" customFormat="1" ht="15" x14ac:dyDescent="0.25">
      <c r="A25" s="46">
        <v>17</v>
      </c>
      <c r="B25" s="89">
        <v>133886</v>
      </c>
      <c r="C25" s="45">
        <v>46028</v>
      </c>
      <c r="D25" s="71"/>
      <c r="E25" s="70">
        <v>0.25</v>
      </c>
      <c r="F25" s="102">
        <v>14.6</v>
      </c>
      <c r="G25" s="88" t="s">
        <v>131</v>
      </c>
      <c r="H25" s="94"/>
      <c r="I25" s="94" t="s">
        <v>54</v>
      </c>
      <c r="J25" s="88"/>
      <c r="K25" s="97"/>
      <c r="L25" s="19" t="s">
        <v>10</v>
      </c>
    </row>
    <row r="26" spans="1:12" s="68" customFormat="1" ht="15" x14ac:dyDescent="0.25">
      <c r="A26" s="46">
        <v>18</v>
      </c>
      <c r="B26" s="89">
        <v>133698</v>
      </c>
      <c r="C26" s="45">
        <v>46028</v>
      </c>
      <c r="D26" s="71">
        <v>0.54166666666666663</v>
      </c>
      <c r="E26" s="70"/>
      <c r="F26" s="102">
        <v>9.5</v>
      </c>
      <c r="G26" s="88" t="s">
        <v>73</v>
      </c>
      <c r="H26" s="94">
        <v>0.53333333333333333</v>
      </c>
      <c r="I26" s="94" t="s">
        <v>55</v>
      </c>
      <c r="J26" s="88"/>
      <c r="K26" s="97"/>
      <c r="L26" s="19" t="s">
        <v>10</v>
      </c>
    </row>
    <row r="27" spans="1:12" s="68" customFormat="1" ht="15" x14ac:dyDescent="0.25">
      <c r="A27" s="46">
        <v>19</v>
      </c>
      <c r="B27" s="89">
        <v>133887</v>
      </c>
      <c r="C27" s="45">
        <v>46028</v>
      </c>
      <c r="D27" s="71">
        <v>0.58333333333333337</v>
      </c>
      <c r="E27" s="70"/>
      <c r="F27" s="102">
        <v>17</v>
      </c>
      <c r="G27" s="88" t="s">
        <v>119</v>
      </c>
      <c r="H27" s="94">
        <v>0.5805555555555556</v>
      </c>
      <c r="I27" s="94" t="s">
        <v>55</v>
      </c>
      <c r="J27" s="88"/>
      <c r="K27" s="97"/>
      <c r="L27" s="19" t="s">
        <v>10</v>
      </c>
    </row>
    <row r="28" spans="1:12" s="68" customFormat="1" ht="15" x14ac:dyDescent="0.25">
      <c r="A28" s="46">
        <v>20</v>
      </c>
      <c r="B28" s="89">
        <v>133888</v>
      </c>
      <c r="C28" s="45">
        <v>46332</v>
      </c>
      <c r="D28" s="71"/>
      <c r="E28" s="70">
        <v>0.66666666666666663</v>
      </c>
      <c r="F28" s="102">
        <v>10</v>
      </c>
      <c r="G28" s="88" t="s">
        <v>132</v>
      </c>
      <c r="H28" s="94"/>
      <c r="I28" s="94" t="s">
        <v>54</v>
      </c>
      <c r="J28" s="88"/>
      <c r="K28" s="97"/>
      <c r="L28" s="19" t="s">
        <v>10</v>
      </c>
    </row>
    <row r="29" spans="1:12" s="68" customFormat="1" ht="15" x14ac:dyDescent="0.25">
      <c r="A29" s="46">
        <v>21</v>
      </c>
      <c r="B29" s="89">
        <v>133699</v>
      </c>
      <c r="C29" s="45">
        <v>46028</v>
      </c>
      <c r="D29" s="71"/>
      <c r="E29" s="70">
        <v>0.70833333333333337</v>
      </c>
      <c r="F29" s="102">
        <v>11.7</v>
      </c>
      <c r="G29" s="88" t="s">
        <v>74</v>
      </c>
      <c r="H29" s="94"/>
      <c r="I29" s="94" t="s">
        <v>54</v>
      </c>
      <c r="J29" s="88"/>
      <c r="K29" s="97"/>
      <c r="L29" s="19" t="s">
        <v>10</v>
      </c>
    </row>
    <row r="30" spans="1:12" s="68" customFormat="1" ht="15" x14ac:dyDescent="0.25">
      <c r="A30" s="46">
        <v>22</v>
      </c>
      <c r="B30" s="89">
        <v>133700</v>
      </c>
      <c r="C30" s="45">
        <v>46028</v>
      </c>
      <c r="D30" s="71">
        <v>0.75</v>
      </c>
      <c r="E30" s="70"/>
      <c r="F30" s="102">
        <v>13</v>
      </c>
      <c r="G30" s="88" t="s">
        <v>75</v>
      </c>
      <c r="H30" s="94">
        <v>0.73819444444444438</v>
      </c>
      <c r="I30" s="94" t="s">
        <v>55</v>
      </c>
      <c r="J30" s="88"/>
      <c r="K30" s="97"/>
      <c r="L30" s="19" t="s">
        <v>10</v>
      </c>
    </row>
    <row r="31" spans="1:12" s="68" customFormat="1" ht="15" x14ac:dyDescent="0.25">
      <c r="A31" s="46">
        <v>23</v>
      </c>
      <c r="B31" s="89">
        <v>136601</v>
      </c>
      <c r="C31" s="45">
        <v>46028</v>
      </c>
      <c r="D31" s="71"/>
      <c r="E31" s="70">
        <v>0.75</v>
      </c>
      <c r="F31" s="102">
        <v>9</v>
      </c>
      <c r="G31" s="88" t="s">
        <v>76</v>
      </c>
      <c r="H31" s="94"/>
      <c r="I31" s="94" t="s">
        <v>54</v>
      </c>
      <c r="J31" s="88"/>
      <c r="K31" s="30" t="s">
        <v>77</v>
      </c>
      <c r="L31" s="19" t="s">
        <v>10</v>
      </c>
    </row>
    <row r="32" spans="1:12" s="68" customFormat="1" ht="15" x14ac:dyDescent="0.25">
      <c r="A32" s="46">
        <v>24</v>
      </c>
      <c r="B32" s="89">
        <v>136602</v>
      </c>
      <c r="C32" s="45">
        <v>46028</v>
      </c>
      <c r="D32" s="71"/>
      <c r="E32" s="70">
        <v>0.95833333333333337</v>
      </c>
      <c r="F32" s="102">
        <v>10.8</v>
      </c>
      <c r="G32" s="88" t="s">
        <v>59</v>
      </c>
      <c r="H32" s="94"/>
      <c r="I32" s="94" t="s">
        <v>54</v>
      </c>
      <c r="J32" s="88"/>
      <c r="K32" s="30"/>
      <c r="L32" s="19" t="s">
        <v>10</v>
      </c>
    </row>
    <row r="33" spans="1:12" s="68" customFormat="1" ht="15" x14ac:dyDescent="0.25">
      <c r="A33" s="46">
        <v>25</v>
      </c>
      <c r="B33" s="89">
        <v>136603</v>
      </c>
      <c r="C33" s="45">
        <v>46029</v>
      </c>
      <c r="D33" s="71"/>
      <c r="E33" s="70">
        <v>0</v>
      </c>
      <c r="F33" s="102">
        <v>10</v>
      </c>
      <c r="G33" s="88" t="s">
        <v>78</v>
      </c>
      <c r="H33" s="94"/>
      <c r="I33" s="94" t="s">
        <v>54</v>
      </c>
      <c r="J33" s="88"/>
      <c r="K33" s="30"/>
      <c r="L33" s="19" t="s">
        <v>10</v>
      </c>
    </row>
    <row r="34" spans="1:12" s="68" customFormat="1" ht="15" x14ac:dyDescent="0.25">
      <c r="A34" s="46">
        <v>26</v>
      </c>
      <c r="B34" s="89">
        <v>136604</v>
      </c>
      <c r="C34" s="45">
        <v>46029</v>
      </c>
      <c r="D34" s="71"/>
      <c r="E34" s="70">
        <v>8.3333333333333329E-2</v>
      </c>
      <c r="F34" s="102">
        <v>13.5</v>
      </c>
      <c r="G34" s="88" t="s">
        <v>79</v>
      </c>
      <c r="H34" s="94"/>
      <c r="I34" s="94" t="s">
        <v>54</v>
      </c>
      <c r="J34" s="88"/>
      <c r="K34" s="30"/>
      <c r="L34" s="19" t="s">
        <v>10</v>
      </c>
    </row>
    <row r="35" spans="1:12" s="68" customFormat="1" ht="15" x14ac:dyDescent="0.25">
      <c r="A35" s="46">
        <v>27</v>
      </c>
      <c r="B35" s="44">
        <v>136605</v>
      </c>
      <c r="C35" s="45">
        <v>46029</v>
      </c>
      <c r="D35" s="71">
        <v>0.25</v>
      </c>
      <c r="E35" s="70"/>
      <c r="F35" s="120">
        <v>13.5</v>
      </c>
      <c r="G35" s="88" t="s">
        <v>80</v>
      </c>
      <c r="H35" s="94">
        <v>0.24236111111111111</v>
      </c>
      <c r="I35" s="94" t="s">
        <v>55</v>
      </c>
      <c r="J35" s="88"/>
      <c r="K35" s="30"/>
      <c r="L35" s="19" t="s">
        <v>10</v>
      </c>
    </row>
    <row r="36" spans="1:12" s="68" customFormat="1" ht="15" x14ac:dyDescent="0.25">
      <c r="A36" s="46">
        <v>28</v>
      </c>
      <c r="B36" s="89">
        <v>136606</v>
      </c>
      <c r="C36" s="45">
        <v>46029</v>
      </c>
      <c r="D36" s="71"/>
      <c r="E36" s="70">
        <v>0.25</v>
      </c>
      <c r="F36" s="102">
        <v>13.3</v>
      </c>
      <c r="G36" s="88" t="s">
        <v>57</v>
      </c>
      <c r="H36" s="94"/>
      <c r="I36" s="94" t="s">
        <v>54</v>
      </c>
      <c r="J36" s="88"/>
      <c r="K36" s="30"/>
      <c r="L36" s="19" t="s">
        <v>10</v>
      </c>
    </row>
    <row r="37" spans="1:12" s="68" customFormat="1" ht="15" x14ac:dyDescent="0.25">
      <c r="A37" s="46">
        <v>29</v>
      </c>
      <c r="B37" s="89">
        <v>136607</v>
      </c>
      <c r="C37" s="45">
        <v>46029</v>
      </c>
      <c r="D37" s="71">
        <v>0.29166666666666669</v>
      </c>
      <c r="E37" s="70"/>
      <c r="F37" s="102">
        <v>11</v>
      </c>
      <c r="G37" s="88" t="s">
        <v>69</v>
      </c>
      <c r="H37" s="94">
        <v>0.28472222222222221</v>
      </c>
      <c r="I37" s="94" t="s">
        <v>55</v>
      </c>
      <c r="J37" s="88"/>
      <c r="K37" s="30"/>
      <c r="L37" s="19" t="s">
        <v>10</v>
      </c>
    </row>
    <row r="38" spans="1:12" s="68" customFormat="1" ht="15" x14ac:dyDescent="0.25">
      <c r="A38" s="46">
        <v>30</v>
      </c>
      <c r="B38" s="89">
        <v>136608</v>
      </c>
      <c r="C38" s="45">
        <v>46030</v>
      </c>
      <c r="D38" s="71"/>
      <c r="E38" s="70">
        <v>8.3333333333333329E-2</v>
      </c>
      <c r="F38" s="102">
        <v>10.8</v>
      </c>
      <c r="G38" s="88" t="s">
        <v>81</v>
      </c>
      <c r="H38" s="94"/>
      <c r="I38" s="94" t="s">
        <v>54</v>
      </c>
      <c r="J38" s="88"/>
      <c r="K38" s="30"/>
      <c r="L38" s="19" t="s">
        <v>10</v>
      </c>
    </row>
    <row r="39" spans="1:12" s="68" customFormat="1" ht="15" x14ac:dyDescent="0.25">
      <c r="A39" s="46">
        <v>31</v>
      </c>
      <c r="B39" s="89">
        <v>133609</v>
      </c>
      <c r="C39" s="45">
        <v>46030</v>
      </c>
      <c r="D39" s="71">
        <v>0.25</v>
      </c>
      <c r="E39" s="70"/>
      <c r="F39" s="102">
        <v>13.5</v>
      </c>
      <c r="G39" s="88" t="s">
        <v>80</v>
      </c>
      <c r="H39" s="94">
        <v>0.24444444444444446</v>
      </c>
      <c r="I39" s="94" t="s">
        <v>55</v>
      </c>
      <c r="J39" s="88"/>
      <c r="K39" s="30"/>
      <c r="L39" s="19" t="s">
        <v>10</v>
      </c>
    </row>
    <row r="40" spans="1:12" s="68" customFormat="1" ht="15" x14ac:dyDescent="0.25">
      <c r="A40" s="46">
        <v>32</v>
      </c>
      <c r="B40" s="89">
        <v>136610</v>
      </c>
      <c r="C40" s="45">
        <v>46030</v>
      </c>
      <c r="D40" s="71"/>
      <c r="E40" s="70">
        <v>0.25</v>
      </c>
      <c r="F40" s="102">
        <v>14.5</v>
      </c>
      <c r="G40" s="88" t="s">
        <v>82</v>
      </c>
      <c r="H40" s="94"/>
      <c r="I40" s="94" t="s">
        <v>54</v>
      </c>
      <c r="J40" s="88"/>
      <c r="K40" s="30"/>
      <c r="L40" s="19" t="s">
        <v>10</v>
      </c>
    </row>
    <row r="41" spans="1:12" s="68" customFormat="1" ht="15" x14ac:dyDescent="0.25">
      <c r="A41" s="46">
        <v>33</v>
      </c>
      <c r="B41" s="89">
        <v>136611</v>
      </c>
      <c r="C41" s="45">
        <v>46030</v>
      </c>
      <c r="D41" s="71">
        <v>0.29166666666666669</v>
      </c>
      <c r="E41" s="70"/>
      <c r="F41" s="102">
        <v>11</v>
      </c>
      <c r="G41" s="88" t="s">
        <v>69</v>
      </c>
      <c r="H41" s="94">
        <v>0.28472222222222221</v>
      </c>
      <c r="I41" s="94" t="s">
        <v>55</v>
      </c>
      <c r="J41" s="88"/>
      <c r="K41" s="30"/>
      <c r="L41" s="19" t="s">
        <v>10</v>
      </c>
    </row>
    <row r="42" spans="1:12" s="68" customFormat="1" ht="15" x14ac:dyDescent="0.25">
      <c r="A42" s="46">
        <v>34</v>
      </c>
      <c r="B42" s="89">
        <v>136612</v>
      </c>
      <c r="C42" s="45">
        <v>46030</v>
      </c>
      <c r="D42" s="71">
        <v>0.54166666666666663</v>
      </c>
      <c r="E42" s="70"/>
      <c r="F42" s="102">
        <v>7</v>
      </c>
      <c r="G42" s="88" t="s">
        <v>83</v>
      </c>
      <c r="H42" s="94">
        <v>0.53888888888888886</v>
      </c>
      <c r="I42" s="94" t="s">
        <v>55</v>
      </c>
      <c r="J42" s="88"/>
      <c r="K42" s="30"/>
      <c r="L42" s="19" t="s">
        <v>10</v>
      </c>
    </row>
    <row r="43" spans="1:12" s="68" customFormat="1" ht="15" x14ac:dyDescent="0.25">
      <c r="A43" s="46">
        <v>35</v>
      </c>
      <c r="B43" s="89">
        <v>136614</v>
      </c>
      <c r="C43" s="45">
        <v>46030</v>
      </c>
      <c r="D43" s="71"/>
      <c r="E43" s="70">
        <v>0.625</v>
      </c>
      <c r="F43" s="102">
        <v>13.5</v>
      </c>
      <c r="G43" s="88" t="s">
        <v>80</v>
      </c>
      <c r="H43" s="94"/>
      <c r="I43" s="94" t="s">
        <v>54</v>
      </c>
      <c r="J43" s="88"/>
      <c r="K43" s="30"/>
      <c r="L43" s="19" t="s">
        <v>10</v>
      </c>
    </row>
    <row r="44" spans="1:12" s="68" customFormat="1" ht="15" x14ac:dyDescent="0.25">
      <c r="A44" s="46">
        <v>36</v>
      </c>
      <c r="B44" s="89">
        <v>136615</v>
      </c>
      <c r="C44" s="45">
        <v>46030</v>
      </c>
      <c r="D44" s="71"/>
      <c r="E44" s="70">
        <v>0.70833333333333337</v>
      </c>
      <c r="F44" s="102">
        <v>12</v>
      </c>
      <c r="G44" s="88" t="s">
        <v>84</v>
      </c>
      <c r="H44" s="94"/>
      <c r="I44" s="94" t="s">
        <v>54</v>
      </c>
      <c r="J44" s="88"/>
      <c r="K44" s="30"/>
      <c r="L44" s="19" t="s">
        <v>10</v>
      </c>
    </row>
    <row r="45" spans="1:12" s="68" customFormat="1" ht="15" x14ac:dyDescent="0.25">
      <c r="A45" s="46">
        <v>37</v>
      </c>
      <c r="B45" s="89">
        <v>136616</v>
      </c>
      <c r="C45" s="45">
        <v>46030</v>
      </c>
      <c r="D45" s="71">
        <v>0.75</v>
      </c>
      <c r="E45" s="70"/>
      <c r="F45" s="102">
        <v>13</v>
      </c>
      <c r="G45" s="88" t="s">
        <v>85</v>
      </c>
      <c r="H45" s="94">
        <v>0.74444444444444446</v>
      </c>
      <c r="I45" s="94" t="s">
        <v>55</v>
      </c>
      <c r="J45" s="88"/>
      <c r="K45" s="30"/>
      <c r="L45" s="19" t="s">
        <v>10</v>
      </c>
    </row>
    <row r="46" spans="1:12" s="68" customFormat="1" ht="15" x14ac:dyDescent="0.25">
      <c r="A46" s="46">
        <v>38</v>
      </c>
      <c r="B46" s="89">
        <v>136617</v>
      </c>
      <c r="C46" s="45">
        <v>46030</v>
      </c>
      <c r="D46" s="71"/>
      <c r="E46" s="70">
        <v>0.75</v>
      </c>
      <c r="F46" s="102">
        <v>10.5</v>
      </c>
      <c r="G46" s="88" t="s">
        <v>86</v>
      </c>
      <c r="H46" s="94"/>
      <c r="I46" s="94" t="s">
        <v>54</v>
      </c>
      <c r="J46" s="88"/>
      <c r="K46" s="30"/>
      <c r="L46" s="19" t="s">
        <v>10</v>
      </c>
    </row>
    <row r="47" spans="1:12" s="68" customFormat="1" ht="15" x14ac:dyDescent="0.25">
      <c r="A47" s="46">
        <v>39</v>
      </c>
      <c r="B47" s="89">
        <v>135619</v>
      </c>
      <c r="C47" s="45">
        <v>46031</v>
      </c>
      <c r="D47" s="71"/>
      <c r="E47" s="70">
        <v>8.3333333333333329E-2</v>
      </c>
      <c r="F47" s="102">
        <v>9</v>
      </c>
      <c r="G47" s="88" t="s">
        <v>87</v>
      </c>
      <c r="H47" s="94"/>
      <c r="I47" s="94" t="s">
        <v>54</v>
      </c>
      <c r="J47" s="88"/>
      <c r="K47" s="30"/>
      <c r="L47" s="19" t="s">
        <v>10</v>
      </c>
    </row>
    <row r="48" spans="1:12" s="68" customFormat="1" ht="15" x14ac:dyDescent="0.25">
      <c r="A48" s="46">
        <v>40</v>
      </c>
      <c r="B48" s="89">
        <v>136621</v>
      </c>
      <c r="C48" s="45">
        <v>46031</v>
      </c>
      <c r="D48" s="71">
        <v>0.5</v>
      </c>
      <c r="E48" s="70"/>
      <c r="F48" s="102">
        <v>7.3</v>
      </c>
      <c r="G48" s="88" t="s">
        <v>89</v>
      </c>
      <c r="H48" s="94">
        <v>0.49305555555555558</v>
      </c>
      <c r="I48" s="94" t="s">
        <v>55</v>
      </c>
      <c r="J48" s="88"/>
      <c r="K48" s="30"/>
      <c r="L48" s="19" t="s">
        <v>10</v>
      </c>
    </row>
    <row r="49" spans="1:12" s="68" customFormat="1" ht="15" x14ac:dyDescent="0.25">
      <c r="A49" s="46">
        <v>41</v>
      </c>
      <c r="B49" s="89">
        <v>136622</v>
      </c>
      <c r="C49" s="45">
        <v>46031</v>
      </c>
      <c r="D49" s="71"/>
      <c r="E49" s="70">
        <v>0.5</v>
      </c>
      <c r="F49" s="102">
        <v>6</v>
      </c>
      <c r="G49" s="88" t="s">
        <v>90</v>
      </c>
      <c r="H49" s="94"/>
      <c r="I49" s="94" t="s">
        <v>54</v>
      </c>
      <c r="J49" s="88"/>
      <c r="K49" s="30" t="s">
        <v>91</v>
      </c>
      <c r="L49" s="19" t="s">
        <v>10</v>
      </c>
    </row>
    <row r="50" spans="1:12" s="68" customFormat="1" ht="15" x14ac:dyDescent="0.25">
      <c r="A50" s="46">
        <v>42</v>
      </c>
      <c r="B50" s="89">
        <v>136624</v>
      </c>
      <c r="C50" s="45">
        <v>46031</v>
      </c>
      <c r="D50" s="71"/>
      <c r="E50" s="70">
        <v>0.875</v>
      </c>
      <c r="F50" s="102">
        <v>10.8</v>
      </c>
      <c r="G50" s="88" t="s">
        <v>59</v>
      </c>
      <c r="H50" s="94"/>
      <c r="I50" s="94" t="s">
        <v>54</v>
      </c>
      <c r="J50" s="88"/>
      <c r="K50" s="30"/>
      <c r="L50" s="19" t="s">
        <v>10</v>
      </c>
    </row>
    <row r="51" spans="1:12" s="68" customFormat="1" ht="15" x14ac:dyDescent="0.25">
      <c r="A51" s="46">
        <v>43</v>
      </c>
      <c r="B51" s="89">
        <v>136626</v>
      </c>
      <c r="C51" s="45">
        <v>46032</v>
      </c>
      <c r="D51" s="71">
        <v>0.20833333333333334</v>
      </c>
      <c r="E51" s="70"/>
      <c r="F51" s="120">
        <v>14</v>
      </c>
      <c r="G51" s="88" t="s">
        <v>92</v>
      </c>
      <c r="H51" s="94">
        <v>0.19930555555555554</v>
      </c>
      <c r="I51" s="94" t="s">
        <v>55</v>
      </c>
      <c r="J51" s="88"/>
      <c r="K51" s="30"/>
      <c r="L51" s="19" t="s">
        <v>10</v>
      </c>
    </row>
    <row r="52" spans="1:12" s="68" customFormat="1" ht="15" x14ac:dyDescent="0.25">
      <c r="A52" s="46">
        <v>44</v>
      </c>
      <c r="B52" s="89">
        <v>136627</v>
      </c>
      <c r="C52" s="45">
        <v>46032</v>
      </c>
      <c r="D52" s="71"/>
      <c r="E52" s="70">
        <v>0.20833333333333334</v>
      </c>
      <c r="F52" s="120">
        <v>13.3</v>
      </c>
      <c r="G52" s="88" t="s">
        <v>57</v>
      </c>
      <c r="H52" s="94"/>
      <c r="I52" s="94" t="s">
        <v>54</v>
      </c>
      <c r="J52" s="88"/>
      <c r="K52" s="30"/>
      <c r="L52" s="19" t="s">
        <v>10</v>
      </c>
    </row>
    <row r="53" spans="1:12" s="68" customFormat="1" ht="15" x14ac:dyDescent="0.25">
      <c r="A53" s="46">
        <v>45</v>
      </c>
      <c r="B53" s="89">
        <v>136628</v>
      </c>
      <c r="C53" s="45">
        <v>46032</v>
      </c>
      <c r="D53" s="71">
        <v>0.25</v>
      </c>
      <c r="E53" s="70"/>
      <c r="F53" s="120">
        <v>10.7</v>
      </c>
      <c r="G53" s="88" t="s">
        <v>93</v>
      </c>
      <c r="H53" s="94">
        <v>0.24097222222222223</v>
      </c>
      <c r="I53" s="94" t="s">
        <v>55</v>
      </c>
      <c r="J53" s="88"/>
      <c r="K53" s="30"/>
      <c r="L53" s="19" t="s">
        <v>10</v>
      </c>
    </row>
    <row r="54" spans="1:12" s="68" customFormat="1" ht="15" x14ac:dyDescent="0.25">
      <c r="A54" s="46">
        <v>46</v>
      </c>
      <c r="B54" s="89">
        <v>136629</v>
      </c>
      <c r="C54" s="45">
        <v>46034</v>
      </c>
      <c r="D54" s="71">
        <v>0.20833333333333334</v>
      </c>
      <c r="E54" s="70"/>
      <c r="F54" s="120">
        <v>18.3</v>
      </c>
      <c r="G54" s="88" t="s">
        <v>94</v>
      </c>
      <c r="H54" s="94">
        <v>0.19930555555555554</v>
      </c>
      <c r="I54" s="94" t="s">
        <v>55</v>
      </c>
      <c r="J54" s="88"/>
      <c r="K54" s="30"/>
      <c r="L54" s="19" t="s">
        <v>10</v>
      </c>
    </row>
    <row r="55" spans="1:12" s="68" customFormat="1" ht="15" x14ac:dyDescent="0.25">
      <c r="A55" s="46">
        <v>47</v>
      </c>
      <c r="B55" s="89">
        <v>136631</v>
      </c>
      <c r="C55" s="45">
        <v>46035</v>
      </c>
      <c r="D55" s="71"/>
      <c r="E55" s="70">
        <v>8.3333333333333329E-2</v>
      </c>
      <c r="F55" s="120">
        <v>13</v>
      </c>
      <c r="G55" s="88" t="s">
        <v>96</v>
      </c>
      <c r="H55" s="94"/>
      <c r="I55" s="94" t="s">
        <v>54</v>
      </c>
      <c r="J55" s="88"/>
      <c r="K55" s="30"/>
      <c r="L55" s="19" t="s">
        <v>10</v>
      </c>
    </row>
    <row r="56" spans="1:12" s="68" customFormat="1" ht="15" x14ac:dyDescent="0.25">
      <c r="A56" s="46">
        <v>48</v>
      </c>
      <c r="B56" s="89">
        <v>136632</v>
      </c>
      <c r="C56" s="45">
        <v>46035</v>
      </c>
      <c r="D56" s="71">
        <v>0.25</v>
      </c>
      <c r="E56" s="70"/>
      <c r="F56" s="120">
        <v>19.3</v>
      </c>
      <c r="G56" s="88" t="s">
        <v>97</v>
      </c>
      <c r="H56" s="94">
        <v>0.24097222222222223</v>
      </c>
      <c r="I56" s="94" t="s">
        <v>55</v>
      </c>
      <c r="J56" s="88"/>
      <c r="K56" s="30"/>
      <c r="L56" s="19" t="s">
        <v>10</v>
      </c>
    </row>
    <row r="57" spans="1:12" s="68" customFormat="1" ht="15" x14ac:dyDescent="0.25">
      <c r="A57" s="46">
        <v>49</v>
      </c>
      <c r="B57" s="89">
        <v>136633</v>
      </c>
      <c r="C57" s="45">
        <v>46035</v>
      </c>
      <c r="D57" s="71"/>
      <c r="E57" s="70">
        <v>0.25</v>
      </c>
      <c r="F57" s="120">
        <v>12.5</v>
      </c>
      <c r="G57" s="88" t="s">
        <v>98</v>
      </c>
      <c r="H57" s="94"/>
      <c r="I57" s="94" t="s">
        <v>54</v>
      </c>
      <c r="J57" s="88"/>
      <c r="K57" s="30"/>
      <c r="L57" s="19" t="s">
        <v>10</v>
      </c>
    </row>
    <row r="58" spans="1:12" s="68" customFormat="1" ht="15" x14ac:dyDescent="0.25">
      <c r="A58" s="46">
        <v>50</v>
      </c>
      <c r="B58" s="89">
        <v>136634</v>
      </c>
      <c r="C58" s="45">
        <v>46035</v>
      </c>
      <c r="D58" s="71">
        <v>0.29166666666666669</v>
      </c>
      <c r="E58" s="70"/>
      <c r="F58" s="120">
        <v>10</v>
      </c>
      <c r="G58" s="88" t="s">
        <v>56</v>
      </c>
      <c r="H58" s="94">
        <v>0.28055555555555556</v>
      </c>
      <c r="I58" s="94" t="s">
        <v>55</v>
      </c>
      <c r="J58" s="88"/>
      <c r="K58" s="30"/>
      <c r="L58" s="19" t="s">
        <v>10</v>
      </c>
    </row>
    <row r="59" spans="1:12" s="68" customFormat="1" ht="15" x14ac:dyDescent="0.25">
      <c r="A59" s="46">
        <v>51</v>
      </c>
      <c r="B59" s="89">
        <v>134211</v>
      </c>
      <c r="C59" s="45">
        <v>46035</v>
      </c>
      <c r="D59" s="71">
        <v>0.75</v>
      </c>
      <c r="E59" s="70"/>
      <c r="F59" s="120">
        <v>12</v>
      </c>
      <c r="G59" s="88" t="s">
        <v>143</v>
      </c>
      <c r="H59" s="94">
        <v>0.75138888888888899</v>
      </c>
      <c r="I59" s="94" t="s">
        <v>55</v>
      </c>
      <c r="J59" s="88"/>
      <c r="K59" s="30"/>
      <c r="L59" s="19" t="s">
        <v>10</v>
      </c>
    </row>
    <row r="60" spans="1:12" s="68" customFormat="1" ht="15" x14ac:dyDescent="0.25">
      <c r="A60" s="46">
        <v>52</v>
      </c>
      <c r="B60" s="89">
        <v>134212</v>
      </c>
      <c r="C60" s="45">
        <v>46035</v>
      </c>
      <c r="D60" s="71"/>
      <c r="E60" s="70">
        <v>0.75</v>
      </c>
      <c r="F60" s="120">
        <v>12.3</v>
      </c>
      <c r="G60" s="88" t="s">
        <v>144</v>
      </c>
      <c r="H60" s="94"/>
      <c r="I60" s="94" t="s">
        <v>54</v>
      </c>
      <c r="J60" s="88"/>
      <c r="K60" s="30"/>
      <c r="L60" s="19" t="s">
        <v>10</v>
      </c>
    </row>
    <row r="61" spans="1:12" s="68" customFormat="1" ht="15" x14ac:dyDescent="0.25">
      <c r="A61" s="46">
        <v>53</v>
      </c>
      <c r="B61" s="89">
        <v>136809</v>
      </c>
      <c r="C61" s="45">
        <v>46036</v>
      </c>
      <c r="D61" s="71"/>
      <c r="E61" s="70">
        <v>0.75</v>
      </c>
      <c r="F61" s="120">
        <v>19.5</v>
      </c>
      <c r="G61" s="88" t="s">
        <v>181</v>
      </c>
      <c r="H61" s="94"/>
      <c r="I61" s="94" t="s">
        <v>54</v>
      </c>
      <c r="J61" s="88"/>
      <c r="K61" s="30"/>
      <c r="L61" s="19" t="s">
        <v>10</v>
      </c>
    </row>
    <row r="62" spans="1:12" s="68" customFormat="1" ht="15" x14ac:dyDescent="0.25">
      <c r="A62" s="46">
        <v>54</v>
      </c>
      <c r="B62" s="89">
        <v>136475</v>
      </c>
      <c r="C62" s="45">
        <v>46037</v>
      </c>
      <c r="D62" s="71"/>
      <c r="E62" s="70">
        <v>0</v>
      </c>
      <c r="F62" s="120">
        <v>8.6999999999999993</v>
      </c>
      <c r="G62" s="88" t="s">
        <v>235</v>
      </c>
      <c r="H62" s="94"/>
      <c r="I62" s="94" t="s">
        <v>54</v>
      </c>
      <c r="J62" s="88"/>
      <c r="K62" s="147" t="s">
        <v>106</v>
      </c>
      <c r="L62" s="19" t="s">
        <v>10</v>
      </c>
    </row>
    <row r="63" spans="1:12" s="68" customFormat="1" ht="15" x14ac:dyDescent="0.25">
      <c r="A63" s="46">
        <v>55</v>
      </c>
      <c r="B63" s="89">
        <v>136476</v>
      </c>
      <c r="C63" s="45">
        <v>46037</v>
      </c>
      <c r="D63" s="71"/>
      <c r="E63" s="70">
        <v>4.1666666666666664E-2</v>
      </c>
      <c r="F63" s="120">
        <v>7.7</v>
      </c>
      <c r="G63" s="88" t="s">
        <v>227</v>
      </c>
      <c r="H63" s="94"/>
      <c r="I63" s="94" t="s">
        <v>54</v>
      </c>
      <c r="J63" s="88"/>
      <c r="K63" s="30"/>
      <c r="L63" s="19" t="s">
        <v>10</v>
      </c>
    </row>
    <row r="64" spans="1:12" s="68" customFormat="1" ht="15" x14ac:dyDescent="0.25">
      <c r="A64" s="46">
        <v>56</v>
      </c>
      <c r="B64" s="89">
        <v>136477</v>
      </c>
      <c r="C64" s="45">
        <v>46037</v>
      </c>
      <c r="D64" s="71"/>
      <c r="E64" s="70">
        <v>8.3333333333333329E-2</v>
      </c>
      <c r="F64" s="120">
        <v>13</v>
      </c>
      <c r="G64" s="88" t="s">
        <v>96</v>
      </c>
      <c r="H64" s="94"/>
      <c r="I64" s="94" t="s">
        <v>54</v>
      </c>
      <c r="J64" s="88"/>
      <c r="K64" s="30"/>
      <c r="L64" s="19" t="s">
        <v>10</v>
      </c>
    </row>
    <row r="65" spans="1:12" s="68" customFormat="1" ht="15" x14ac:dyDescent="0.25">
      <c r="A65" s="46">
        <v>57</v>
      </c>
      <c r="B65" s="89">
        <v>136638</v>
      </c>
      <c r="C65" s="45">
        <v>46037</v>
      </c>
      <c r="D65" s="71">
        <v>0.25</v>
      </c>
      <c r="E65" s="70"/>
      <c r="F65" s="120">
        <v>11</v>
      </c>
      <c r="G65" s="88" t="s">
        <v>182</v>
      </c>
      <c r="H65" s="94"/>
      <c r="I65" s="94" t="s">
        <v>54</v>
      </c>
      <c r="J65" s="88"/>
      <c r="K65" s="30"/>
      <c r="L65" s="19" t="s">
        <v>10</v>
      </c>
    </row>
    <row r="66" spans="1:12" s="68" customFormat="1" ht="36" x14ac:dyDescent="0.25">
      <c r="A66" s="46">
        <v>58</v>
      </c>
      <c r="B66" s="89">
        <v>136639</v>
      </c>
      <c r="C66" s="45">
        <v>46037</v>
      </c>
      <c r="D66" s="71">
        <v>0.29166666666666669</v>
      </c>
      <c r="E66" s="70"/>
      <c r="F66" s="120">
        <v>10</v>
      </c>
      <c r="G66" s="88" t="s">
        <v>56</v>
      </c>
      <c r="H66" s="94"/>
      <c r="I66" s="94" t="s">
        <v>55</v>
      </c>
      <c r="J66" s="88"/>
      <c r="K66" s="152" t="s">
        <v>183</v>
      </c>
      <c r="L66" s="19" t="s">
        <v>10</v>
      </c>
    </row>
    <row r="67" spans="1:12" s="68" customFormat="1" thickBot="1" x14ac:dyDescent="0.3">
      <c r="A67" s="46">
        <v>59</v>
      </c>
      <c r="B67" s="90">
        <v>136816</v>
      </c>
      <c r="C67" s="108">
        <v>46037</v>
      </c>
      <c r="D67" s="73"/>
      <c r="E67" s="74">
        <v>0.66666666666666663</v>
      </c>
      <c r="F67" s="106">
        <v>9.3000000000000007</v>
      </c>
      <c r="G67" s="106" t="s">
        <v>184</v>
      </c>
      <c r="H67" s="95"/>
      <c r="I67" s="95" t="s">
        <v>54</v>
      </c>
      <c r="J67" s="106"/>
      <c r="K67" s="65"/>
      <c r="L67" s="78" t="s">
        <v>10</v>
      </c>
    </row>
    <row r="68" spans="1:12" s="68" customFormat="1" ht="15" x14ac:dyDescent="0.25">
      <c r="A68" s="46">
        <v>60</v>
      </c>
      <c r="B68" s="66">
        <v>133955</v>
      </c>
      <c r="C68" s="45">
        <v>46022</v>
      </c>
      <c r="D68" s="76">
        <v>0.25</v>
      </c>
      <c r="E68" s="80"/>
      <c r="F68" s="102">
        <v>8.5</v>
      </c>
      <c r="G68" s="88" t="s">
        <v>185</v>
      </c>
      <c r="H68" s="94">
        <v>0.24374999999999999</v>
      </c>
      <c r="I68" s="94" t="s">
        <v>55</v>
      </c>
      <c r="J68" s="88"/>
      <c r="K68" s="30"/>
      <c r="L68" s="19" t="s">
        <v>43</v>
      </c>
    </row>
    <row r="69" spans="1:12" s="68" customFormat="1" ht="15" x14ac:dyDescent="0.25">
      <c r="A69" s="46">
        <v>61</v>
      </c>
      <c r="B69" s="66">
        <v>133956</v>
      </c>
      <c r="C69" s="45">
        <v>46022</v>
      </c>
      <c r="D69" s="76"/>
      <c r="E69" s="80">
        <v>0.25</v>
      </c>
      <c r="F69" s="102">
        <v>14.3</v>
      </c>
      <c r="G69" s="88" t="s">
        <v>64</v>
      </c>
      <c r="H69" s="94"/>
      <c r="I69" s="94" t="s">
        <v>54</v>
      </c>
      <c r="J69" s="88"/>
      <c r="K69" s="30"/>
      <c r="L69" s="19" t="s">
        <v>43</v>
      </c>
    </row>
    <row r="70" spans="1:12" s="68" customFormat="1" ht="15" x14ac:dyDescent="0.25">
      <c r="A70" s="46">
        <v>62</v>
      </c>
      <c r="B70" s="89">
        <v>133957</v>
      </c>
      <c r="C70" s="72">
        <v>46022</v>
      </c>
      <c r="D70" s="71">
        <v>0.29166666666666669</v>
      </c>
      <c r="E70" s="70"/>
      <c r="F70" s="120">
        <v>6.9</v>
      </c>
      <c r="G70" s="69" t="s">
        <v>105</v>
      </c>
      <c r="H70" s="94">
        <v>0.28263888888888888</v>
      </c>
      <c r="I70" s="94" t="s">
        <v>55</v>
      </c>
      <c r="J70" s="88"/>
      <c r="K70" s="30"/>
      <c r="L70" s="19" t="s">
        <v>43</v>
      </c>
    </row>
    <row r="71" spans="1:12" s="68" customFormat="1" ht="15" x14ac:dyDescent="0.25">
      <c r="A71" s="46">
        <v>63</v>
      </c>
      <c r="B71" s="89">
        <v>133959</v>
      </c>
      <c r="C71" s="72">
        <v>46027</v>
      </c>
      <c r="D71" s="71">
        <v>0.25</v>
      </c>
      <c r="E71" s="70"/>
      <c r="F71" s="120">
        <v>8.5</v>
      </c>
      <c r="G71" s="69" t="s">
        <v>185</v>
      </c>
      <c r="H71" s="94">
        <v>0.24305555555555555</v>
      </c>
      <c r="I71" s="94" t="s">
        <v>55</v>
      </c>
      <c r="J71" s="88"/>
      <c r="K71" s="30"/>
      <c r="L71" s="19" t="s">
        <v>43</v>
      </c>
    </row>
    <row r="72" spans="1:12" s="68" customFormat="1" ht="15" x14ac:dyDescent="0.25">
      <c r="A72" s="46">
        <v>64</v>
      </c>
      <c r="B72" s="89">
        <v>133960</v>
      </c>
      <c r="C72" s="72">
        <v>46027</v>
      </c>
      <c r="D72" s="71">
        <v>0.29166666666666669</v>
      </c>
      <c r="E72" s="70"/>
      <c r="F72" s="120">
        <v>8</v>
      </c>
      <c r="G72" s="69" t="s">
        <v>136</v>
      </c>
      <c r="H72" s="94">
        <v>0.28472222222222221</v>
      </c>
      <c r="I72" s="94" t="s">
        <v>55</v>
      </c>
      <c r="J72" s="88"/>
      <c r="K72" s="30"/>
      <c r="L72" s="19" t="s">
        <v>43</v>
      </c>
    </row>
    <row r="73" spans="1:12" s="68" customFormat="1" ht="15" x14ac:dyDescent="0.25">
      <c r="A73" s="46">
        <v>65</v>
      </c>
      <c r="B73" s="89">
        <v>133961</v>
      </c>
      <c r="C73" s="72">
        <v>46027</v>
      </c>
      <c r="D73" s="71">
        <v>0.58333333333333337</v>
      </c>
      <c r="E73" s="70"/>
      <c r="F73" s="120">
        <v>8.9</v>
      </c>
      <c r="G73" s="69" t="s">
        <v>186</v>
      </c>
      <c r="H73" s="94"/>
      <c r="I73" s="94" t="s">
        <v>55</v>
      </c>
      <c r="J73" s="88"/>
      <c r="K73" s="30"/>
      <c r="L73" s="19" t="s">
        <v>43</v>
      </c>
    </row>
    <row r="74" spans="1:12" s="68" customFormat="1" ht="15" x14ac:dyDescent="0.25">
      <c r="A74" s="46">
        <v>66</v>
      </c>
      <c r="B74" s="89">
        <v>133962</v>
      </c>
      <c r="C74" s="72">
        <v>46027</v>
      </c>
      <c r="D74" s="71">
        <v>0.625</v>
      </c>
      <c r="E74" s="70"/>
      <c r="F74" s="120">
        <v>9.5</v>
      </c>
      <c r="G74" s="69" t="s">
        <v>187</v>
      </c>
      <c r="H74" s="94">
        <v>0.61388888888888882</v>
      </c>
      <c r="I74" s="94" t="s">
        <v>55</v>
      </c>
      <c r="J74" s="88"/>
      <c r="K74" s="30"/>
      <c r="L74" s="19" t="s">
        <v>43</v>
      </c>
    </row>
    <row r="75" spans="1:12" s="68" customFormat="1" ht="15" x14ac:dyDescent="0.25">
      <c r="A75" s="46">
        <v>67</v>
      </c>
      <c r="B75" s="89">
        <v>133963</v>
      </c>
      <c r="C75" s="72">
        <v>46027</v>
      </c>
      <c r="D75" s="71"/>
      <c r="E75" s="70">
        <v>0.625</v>
      </c>
      <c r="F75" s="120">
        <v>9</v>
      </c>
      <c r="G75" s="69" t="s">
        <v>188</v>
      </c>
      <c r="H75" s="94"/>
      <c r="I75" s="94" t="s">
        <v>54</v>
      </c>
      <c r="J75" s="88"/>
      <c r="K75" s="30"/>
      <c r="L75" s="19" t="s">
        <v>43</v>
      </c>
    </row>
    <row r="76" spans="1:12" s="68" customFormat="1" ht="15" x14ac:dyDescent="0.25">
      <c r="A76" s="46">
        <v>68</v>
      </c>
      <c r="B76" s="89">
        <v>133964</v>
      </c>
      <c r="C76" s="72">
        <v>46027</v>
      </c>
      <c r="D76" s="71"/>
      <c r="E76" s="70">
        <v>0.66666666666666663</v>
      </c>
      <c r="F76" s="120">
        <v>8</v>
      </c>
      <c r="G76" s="69" t="s">
        <v>136</v>
      </c>
      <c r="H76" s="94"/>
      <c r="I76" s="94" t="s">
        <v>54</v>
      </c>
      <c r="J76" s="88"/>
      <c r="K76" s="30"/>
      <c r="L76" s="19" t="s">
        <v>43</v>
      </c>
    </row>
    <row r="77" spans="1:12" s="68" customFormat="1" ht="15" x14ac:dyDescent="0.25">
      <c r="A77" s="46">
        <v>69</v>
      </c>
      <c r="B77" s="89">
        <v>133965</v>
      </c>
      <c r="C77" s="72">
        <v>46028</v>
      </c>
      <c r="D77" s="71">
        <v>0.25</v>
      </c>
      <c r="E77" s="70"/>
      <c r="F77" s="120">
        <v>13.5</v>
      </c>
      <c r="G77" s="69" t="s">
        <v>80</v>
      </c>
      <c r="H77" s="94">
        <v>0.24444444444444446</v>
      </c>
      <c r="I77" s="94" t="s">
        <v>55</v>
      </c>
      <c r="J77" s="88"/>
      <c r="K77" s="30"/>
      <c r="L77" s="19" t="s">
        <v>43</v>
      </c>
    </row>
    <row r="78" spans="1:12" s="68" customFormat="1" ht="15" x14ac:dyDescent="0.25">
      <c r="A78" s="46">
        <v>70</v>
      </c>
      <c r="B78" s="89">
        <v>133966</v>
      </c>
      <c r="C78" s="72">
        <v>46028</v>
      </c>
      <c r="D78" s="71"/>
      <c r="E78" s="70">
        <v>0.25</v>
      </c>
      <c r="F78" s="120">
        <v>14.9</v>
      </c>
      <c r="G78" s="69" t="s">
        <v>189</v>
      </c>
      <c r="H78" s="94"/>
      <c r="I78" s="94" t="s">
        <v>54</v>
      </c>
      <c r="J78" s="88"/>
      <c r="K78" s="30"/>
      <c r="L78" s="19" t="s">
        <v>43</v>
      </c>
    </row>
    <row r="79" spans="1:12" s="68" customFormat="1" ht="15" x14ac:dyDescent="0.25">
      <c r="A79" s="46">
        <v>71</v>
      </c>
      <c r="B79" s="89">
        <v>133967</v>
      </c>
      <c r="C79" s="72">
        <v>46028</v>
      </c>
      <c r="D79" s="71">
        <v>0.58333333333333337</v>
      </c>
      <c r="E79" s="70"/>
      <c r="F79" s="120">
        <v>9.5</v>
      </c>
      <c r="G79" s="69" t="s">
        <v>186</v>
      </c>
      <c r="H79" s="94">
        <v>0.57638888888888895</v>
      </c>
      <c r="I79" s="94" t="s">
        <v>55</v>
      </c>
      <c r="J79" s="88"/>
      <c r="K79" s="30"/>
      <c r="L79" s="19" t="s">
        <v>43</v>
      </c>
    </row>
    <row r="80" spans="1:12" s="68" customFormat="1" ht="15" x14ac:dyDescent="0.25">
      <c r="A80" s="46">
        <v>72</v>
      </c>
      <c r="B80" s="89">
        <v>133968</v>
      </c>
      <c r="C80" s="72">
        <v>46028</v>
      </c>
      <c r="D80" s="71">
        <v>0.625</v>
      </c>
      <c r="E80" s="70"/>
      <c r="F80" s="120">
        <v>10</v>
      </c>
      <c r="G80" s="69" t="s">
        <v>121</v>
      </c>
      <c r="H80" s="94">
        <v>0.61944444444444446</v>
      </c>
      <c r="I80" s="94" t="s">
        <v>55</v>
      </c>
      <c r="J80" s="88"/>
      <c r="K80" s="30"/>
      <c r="L80" s="19" t="s">
        <v>43</v>
      </c>
    </row>
    <row r="81" spans="1:12" s="68" customFormat="1" ht="15" x14ac:dyDescent="0.25">
      <c r="A81" s="46">
        <v>73</v>
      </c>
      <c r="B81" s="89">
        <v>133970</v>
      </c>
      <c r="C81" s="72">
        <v>46029</v>
      </c>
      <c r="D81" s="71">
        <v>0.25</v>
      </c>
      <c r="E81" s="70"/>
      <c r="F81" s="120">
        <v>8.9</v>
      </c>
      <c r="G81" s="69" t="s">
        <v>188</v>
      </c>
      <c r="H81" s="94">
        <v>0.24722222222222223</v>
      </c>
      <c r="I81" s="94" t="s">
        <v>55</v>
      </c>
      <c r="J81" s="88"/>
      <c r="K81" s="30"/>
      <c r="L81" s="19" t="s">
        <v>43</v>
      </c>
    </row>
    <row r="82" spans="1:12" s="68" customFormat="1" ht="15" x14ac:dyDescent="0.25">
      <c r="A82" s="46">
        <v>74</v>
      </c>
      <c r="B82" s="89">
        <v>133971</v>
      </c>
      <c r="C82" s="72">
        <v>46029</v>
      </c>
      <c r="D82" s="71"/>
      <c r="E82" s="70">
        <v>0.25</v>
      </c>
      <c r="F82" s="120">
        <v>8.9</v>
      </c>
      <c r="G82" s="69" t="s">
        <v>190</v>
      </c>
      <c r="H82" s="94"/>
      <c r="I82" s="94" t="s">
        <v>54</v>
      </c>
      <c r="J82" s="88"/>
      <c r="K82" s="30"/>
      <c r="L82" s="19" t="s">
        <v>43</v>
      </c>
    </row>
    <row r="83" spans="1:12" s="68" customFormat="1" ht="15" x14ac:dyDescent="0.25">
      <c r="A83" s="46">
        <v>75</v>
      </c>
      <c r="B83" s="89">
        <v>133972</v>
      </c>
      <c r="C83" s="72">
        <v>46029</v>
      </c>
      <c r="D83" s="71">
        <v>0.29166666666666669</v>
      </c>
      <c r="E83" s="70"/>
      <c r="F83" s="120">
        <v>8.6999999999999993</v>
      </c>
      <c r="G83" s="69" t="s">
        <v>191</v>
      </c>
      <c r="H83" s="94">
        <v>0.28055555555555556</v>
      </c>
      <c r="I83" s="94" t="s">
        <v>55</v>
      </c>
      <c r="J83" s="88"/>
      <c r="K83" s="30"/>
      <c r="L83" s="19" t="s">
        <v>43</v>
      </c>
    </row>
    <row r="84" spans="1:12" s="68" customFormat="1" ht="15" x14ac:dyDescent="0.25">
      <c r="A84" s="46">
        <v>76</v>
      </c>
      <c r="B84" s="89">
        <v>133973</v>
      </c>
      <c r="C84" s="72">
        <v>46029</v>
      </c>
      <c r="D84" s="71">
        <v>0.58333333333333337</v>
      </c>
      <c r="E84" s="70"/>
      <c r="F84" s="120">
        <v>12.3</v>
      </c>
      <c r="G84" s="69" t="s">
        <v>192</v>
      </c>
      <c r="H84" s="94">
        <v>0.57916666666666672</v>
      </c>
      <c r="I84" s="94" t="s">
        <v>55</v>
      </c>
      <c r="J84" s="88"/>
      <c r="K84" s="30"/>
      <c r="L84" s="19" t="s">
        <v>43</v>
      </c>
    </row>
    <row r="85" spans="1:12" s="68" customFormat="1" ht="15" x14ac:dyDescent="0.25">
      <c r="A85" s="46">
        <v>77</v>
      </c>
      <c r="B85" s="89">
        <v>133974</v>
      </c>
      <c r="C85" s="72">
        <v>46029</v>
      </c>
      <c r="D85" s="71">
        <v>0.625</v>
      </c>
      <c r="E85" s="70"/>
      <c r="F85" s="120">
        <v>10</v>
      </c>
      <c r="G85" s="69" t="s">
        <v>121</v>
      </c>
      <c r="H85" s="94">
        <v>0.62152777777777779</v>
      </c>
      <c r="I85" s="94" t="s">
        <v>55</v>
      </c>
      <c r="J85" s="88"/>
      <c r="K85" s="30"/>
      <c r="L85" s="19" t="s">
        <v>43</v>
      </c>
    </row>
    <row r="86" spans="1:12" s="68" customFormat="1" ht="15" x14ac:dyDescent="0.25">
      <c r="A86" s="46">
        <v>78</v>
      </c>
      <c r="B86" s="89">
        <v>133975</v>
      </c>
      <c r="C86" s="72">
        <v>46029</v>
      </c>
      <c r="D86" s="71"/>
      <c r="E86" s="70">
        <v>0.625</v>
      </c>
      <c r="F86" s="120">
        <v>11.8</v>
      </c>
      <c r="G86" s="69" t="s">
        <v>193</v>
      </c>
      <c r="H86" s="94"/>
      <c r="I86" s="94" t="s">
        <v>54</v>
      </c>
      <c r="J86" s="88"/>
      <c r="K86" s="30"/>
      <c r="L86" s="19" t="s">
        <v>43</v>
      </c>
    </row>
    <row r="87" spans="1:12" s="68" customFormat="1" ht="15" x14ac:dyDescent="0.25">
      <c r="A87" s="46">
        <v>79</v>
      </c>
      <c r="B87" s="89">
        <v>133976</v>
      </c>
      <c r="C87" s="72">
        <v>46029</v>
      </c>
      <c r="D87" s="71"/>
      <c r="E87" s="70">
        <v>0.66666666666666663</v>
      </c>
      <c r="F87" s="120">
        <v>8.9</v>
      </c>
      <c r="G87" s="69" t="s">
        <v>191</v>
      </c>
      <c r="H87" s="94"/>
      <c r="I87" s="94" t="s">
        <v>54</v>
      </c>
      <c r="J87" s="88"/>
      <c r="K87" s="30"/>
      <c r="L87" s="19" t="s">
        <v>43</v>
      </c>
    </row>
    <row r="88" spans="1:12" s="68" customFormat="1" ht="15" x14ac:dyDescent="0.25">
      <c r="A88" s="46">
        <v>80</v>
      </c>
      <c r="B88" s="89">
        <v>133977</v>
      </c>
      <c r="C88" s="72">
        <v>46031</v>
      </c>
      <c r="D88" s="71">
        <v>0.25</v>
      </c>
      <c r="E88" s="70"/>
      <c r="F88" s="120">
        <v>11.2</v>
      </c>
      <c r="G88" s="69" t="s">
        <v>194</v>
      </c>
      <c r="H88" s="94">
        <v>0.24652777777777779</v>
      </c>
      <c r="I88" s="94" t="s">
        <v>55</v>
      </c>
      <c r="J88" s="88"/>
      <c r="K88" s="30"/>
      <c r="L88" s="19" t="s">
        <v>43</v>
      </c>
    </row>
    <row r="89" spans="1:12" s="68" customFormat="1" ht="15" x14ac:dyDescent="0.25">
      <c r="A89" s="46">
        <v>81</v>
      </c>
      <c r="B89" s="89">
        <v>133976</v>
      </c>
      <c r="C89" s="72">
        <v>46031</v>
      </c>
      <c r="D89" s="71"/>
      <c r="E89" s="70">
        <v>0.25</v>
      </c>
      <c r="F89" s="120">
        <v>13.5</v>
      </c>
      <c r="G89" s="69" t="s">
        <v>195</v>
      </c>
      <c r="H89" s="94"/>
      <c r="I89" s="94" t="s">
        <v>54</v>
      </c>
      <c r="J89" s="88"/>
      <c r="K89" s="30"/>
      <c r="L89" s="19" t="s">
        <v>43</v>
      </c>
    </row>
    <row r="90" spans="1:12" s="68" customFormat="1" ht="15" x14ac:dyDescent="0.25">
      <c r="A90" s="46">
        <v>82</v>
      </c>
      <c r="B90" s="89">
        <v>133979</v>
      </c>
      <c r="C90" s="72">
        <v>46031</v>
      </c>
      <c r="D90" s="71">
        <v>0.29166666666666669</v>
      </c>
      <c r="E90" s="70"/>
      <c r="F90" s="120">
        <v>10.6</v>
      </c>
      <c r="G90" s="69" t="s">
        <v>196</v>
      </c>
      <c r="H90" s="94">
        <v>0.28611111111111115</v>
      </c>
      <c r="I90" s="94" t="s">
        <v>55</v>
      </c>
      <c r="J90" s="88"/>
      <c r="K90" s="30"/>
      <c r="L90" s="19" t="s">
        <v>43</v>
      </c>
    </row>
    <row r="91" spans="1:12" s="68" customFormat="1" ht="15" x14ac:dyDescent="0.25">
      <c r="A91" s="46">
        <v>83</v>
      </c>
      <c r="B91" s="89">
        <v>133980</v>
      </c>
      <c r="C91" s="72">
        <v>46031</v>
      </c>
      <c r="D91" s="71">
        <v>0.54166666666666663</v>
      </c>
      <c r="E91" s="70"/>
      <c r="F91" s="120">
        <v>10</v>
      </c>
      <c r="G91" s="69" t="s">
        <v>197</v>
      </c>
      <c r="H91" s="94">
        <v>0.53333333333333333</v>
      </c>
      <c r="I91" s="94" t="s">
        <v>55</v>
      </c>
      <c r="J91" s="88"/>
      <c r="K91" s="147" t="s">
        <v>198</v>
      </c>
      <c r="L91" s="19" t="s">
        <v>43</v>
      </c>
    </row>
    <row r="92" spans="1:12" s="68" customFormat="1" ht="15" x14ac:dyDescent="0.25">
      <c r="A92" s="46">
        <v>84</v>
      </c>
      <c r="B92" s="89">
        <v>133981</v>
      </c>
      <c r="C92" s="72">
        <v>46031</v>
      </c>
      <c r="D92" s="71">
        <v>0.58333333333333337</v>
      </c>
      <c r="E92" s="70"/>
      <c r="F92" s="120">
        <v>10</v>
      </c>
      <c r="G92" s="69" t="s">
        <v>121</v>
      </c>
      <c r="H92" s="94">
        <v>0.5756944444444444</v>
      </c>
      <c r="I92" s="94" t="s">
        <v>55</v>
      </c>
      <c r="J92" s="88"/>
      <c r="K92" s="147" t="s">
        <v>199</v>
      </c>
      <c r="L92" s="19" t="s">
        <v>43</v>
      </c>
    </row>
    <row r="93" spans="1:12" s="68" customFormat="1" ht="15" x14ac:dyDescent="0.25">
      <c r="A93" s="46">
        <v>85</v>
      </c>
      <c r="B93" s="89">
        <v>133982</v>
      </c>
      <c r="C93" s="72">
        <v>46031</v>
      </c>
      <c r="D93" s="71"/>
      <c r="E93" s="70">
        <v>0.58333333333333337</v>
      </c>
      <c r="F93" s="120">
        <v>8.9</v>
      </c>
      <c r="G93" s="69" t="s">
        <v>200</v>
      </c>
      <c r="H93" s="94"/>
      <c r="I93" s="94" t="s">
        <v>54</v>
      </c>
      <c r="J93" s="88"/>
      <c r="K93" s="30"/>
      <c r="L93" s="19" t="s">
        <v>43</v>
      </c>
    </row>
    <row r="94" spans="1:12" s="68" customFormat="1" ht="15" x14ac:dyDescent="0.25">
      <c r="A94" s="46">
        <v>86</v>
      </c>
      <c r="B94" s="89">
        <v>133983</v>
      </c>
      <c r="C94" s="72">
        <v>46031</v>
      </c>
      <c r="D94" s="71">
        <v>0.625</v>
      </c>
      <c r="E94" s="70"/>
      <c r="F94" s="120">
        <v>7</v>
      </c>
      <c r="G94" s="69" t="s">
        <v>201</v>
      </c>
      <c r="H94" s="94"/>
      <c r="I94" s="94" t="s">
        <v>54</v>
      </c>
      <c r="J94" s="88"/>
      <c r="K94" s="30"/>
      <c r="L94" s="19" t="s">
        <v>43</v>
      </c>
    </row>
    <row r="95" spans="1:12" s="68" customFormat="1" ht="15" x14ac:dyDescent="0.25">
      <c r="A95" s="46">
        <v>87</v>
      </c>
      <c r="B95" s="89">
        <v>133984</v>
      </c>
      <c r="C95" s="72">
        <v>46031</v>
      </c>
      <c r="D95" s="71"/>
      <c r="E95" s="70">
        <v>0.75</v>
      </c>
      <c r="F95" s="120">
        <v>8.5</v>
      </c>
      <c r="G95" s="69" t="s">
        <v>76</v>
      </c>
      <c r="H95" s="94"/>
      <c r="I95" s="94" t="s">
        <v>54</v>
      </c>
      <c r="J95" s="88"/>
      <c r="K95" s="30"/>
      <c r="L95" s="19" t="s">
        <v>43</v>
      </c>
    </row>
    <row r="96" spans="1:12" s="68" customFormat="1" ht="15" x14ac:dyDescent="0.25">
      <c r="A96" s="46">
        <v>88</v>
      </c>
      <c r="B96" s="89">
        <v>133985</v>
      </c>
      <c r="C96" s="72">
        <v>46032</v>
      </c>
      <c r="D96" s="71">
        <v>0.20833333333333334</v>
      </c>
      <c r="E96" s="70"/>
      <c r="F96" s="120">
        <v>8.9</v>
      </c>
      <c r="G96" s="69" t="s">
        <v>202</v>
      </c>
      <c r="H96" s="94"/>
      <c r="I96" s="94" t="s">
        <v>55</v>
      </c>
      <c r="J96" s="88"/>
      <c r="K96" s="30"/>
      <c r="L96" s="19" t="s">
        <v>43</v>
      </c>
    </row>
    <row r="97" spans="1:12" s="68" customFormat="1" ht="15" x14ac:dyDescent="0.25">
      <c r="A97" s="46">
        <v>89</v>
      </c>
      <c r="B97" s="89">
        <v>133986</v>
      </c>
      <c r="C97" s="72">
        <v>46032</v>
      </c>
      <c r="D97" s="71"/>
      <c r="E97" s="70">
        <v>0.20833333333333334</v>
      </c>
      <c r="F97" s="120">
        <v>8.6999999999999993</v>
      </c>
      <c r="G97" s="69" t="s">
        <v>190</v>
      </c>
      <c r="H97" s="94"/>
      <c r="I97" s="94" t="s">
        <v>54</v>
      </c>
      <c r="J97" s="88"/>
      <c r="K97" s="30"/>
      <c r="L97" s="19" t="s">
        <v>43</v>
      </c>
    </row>
    <row r="98" spans="1:12" s="68" customFormat="1" ht="15" x14ac:dyDescent="0.25">
      <c r="A98" s="46">
        <v>90</v>
      </c>
      <c r="B98" s="89">
        <v>133987</v>
      </c>
      <c r="C98" s="72">
        <v>46032</v>
      </c>
      <c r="D98" s="71">
        <v>0.25</v>
      </c>
      <c r="E98" s="70"/>
      <c r="F98" s="120">
        <v>9.6</v>
      </c>
      <c r="G98" s="69" t="s">
        <v>203</v>
      </c>
      <c r="H98" s="94">
        <v>0.23541666666666669</v>
      </c>
      <c r="I98" s="94" t="s">
        <v>55</v>
      </c>
      <c r="J98" s="88"/>
      <c r="K98" s="30"/>
      <c r="L98" s="19" t="s">
        <v>43</v>
      </c>
    </row>
    <row r="99" spans="1:12" s="68" customFormat="1" ht="15" x14ac:dyDescent="0.25">
      <c r="A99" s="46">
        <v>91</v>
      </c>
      <c r="B99" s="89">
        <v>133988</v>
      </c>
      <c r="C99" s="72">
        <v>46032</v>
      </c>
      <c r="D99" s="71"/>
      <c r="E99" s="70">
        <v>0.5</v>
      </c>
      <c r="F99" s="120">
        <v>9.6</v>
      </c>
      <c r="G99" s="69" t="s">
        <v>204</v>
      </c>
      <c r="H99" s="94"/>
      <c r="I99" s="94" t="s">
        <v>54</v>
      </c>
      <c r="J99" s="88"/>
      <c r="K99" s="30"/>
      <c r="L99" s="19" t="s">
        <v>43</v>
      </c>
    </row>
    <row r="100" spans="1:12" s="68" customFormat="1" ht="15" x14ac:dyDescent="0.25">
      <c r="A100" s="46">
        <v>92</v>
      </c>
      <c r="B100" s="89">
        <v>133989</v>
      </c>
      <c r="C100" s="72">
        <v>46034</v>
      </c>
      <c r="D100" s="71">
        <v>0.25</v>
      </c>
      <c r="E100" s="70"/>
      <c r="F100" s="120">
        <v>12.2</v>
      </c>
      <c r="G100" s="69" t="s">
        <v>205</v>
      </c>
      <c r="H100" s="94">
        <v>0.23958333333333334</v>
      </c>
      <c r="I100" s="94" t="s">
        <v>55</v>
      </c>
      <c r="J100" s="88"/>
      <c r="K100" s="30"/>
      <c r="L100" s="19" t="s">
        <v>43</v>
      </c>
    </row>
    <row r="101" spans="1:12" s="68" customFormat="1" ht="15" x14ac:dyDescent="0.25">
      <c r="A101" s="46">
        <v>93</v>
      </c>
      <c r="B101" s="89">
        <v>133990</v>
      </c>
      <c r="C101" s="72">
        <v>46034</v>
      </c>
      <c r="D101" s="71">
        <v>0.29166666666666669</v>
      </c>
      <c r="E101" s="70"/>
      <c r="F101" s="120">
        <v>8.9</v>
      </c>
      <c r="G101" s="69" t="s">
        <v>191</v>
      </c>
      <c r="H101" s="94">
        <v>0.28055555555555556</v>
      </c>
      <c r="I101" s="94" t="s">
        <v>55</v>
      </c>
      <c r="J101" s="88"/>
      <c r="K101" s="30"/>
      <c r="L101" s="19" t="s">
        <v>43</v>
      </c>
    </row>
    <row r="102" spans="1:12" s="68" customFormat="1" ht="15" x14ac:dyDescent="0.25">
      <c r="A102" s="46">
        <v>94</v>
      </c>
      <c r="B102" s="89">
        <v>133991</v>
      </c>
      <c r="C102" s="72">
        <v>46034</v>
      </c>
      <c r="D102" s="71">
        <v>0.58333333333333337</v>
      </c>
      <c r="E102" s="70"/>
      <c r="F102" s="120">
        <v>9.3000000000000007</v>
      </c>
      <c r="G102" s="69" t="s">
        <v>206</v>
      </c>
      <c r="H102" s="94">
        <v>0.57638888888888895</v>
      </c>
      <c r="I102" s="94" t="s">
        <v>55</v>
      </c>
      <c r="J102" s="88"/>
      <c r="K102" s="30"/>
      <c r="L102" s="19" t="s">
        <v>43</v>
      </c>
    </row>
    <row r="103" spans="1:12" s="68" customFormat="1" ht="15" x14ac:dyDescent="0.25">
      <c r="A103" s="46">
        <v>95</v>
      </c>
      <c r="B103" s="89">
        <v>133992</v>
      </c>
      <c r="C103" s="72">
        <v>46034</v>
      </c>
      <c r="D103" s="71"/>
      <c r="E103" s="70">
        <v>0.58333333333333337</v>
      </c>
      <c r="F103" s="120">
        <v>6.9</v>
      </c>
      <c r="G103" s="69" t="s">
        <v>207</v>
      </c>
      <c r="H103" s="94"/>
      <c r="I103" s="94" t="s">
        <v>54</v>
      </c>
      <c r="J103" s="88"/>
      <c r="K103" s="30"/>
      <c r="L103" s="19" t="s">
        <v>43</v>
      </c>
    </row>
    <row r="104" spans="1:12" s="68" customFormat="1" ht="15" x14ac:dyDescent="0.25">
      <c r="A104" s="46">
        <v>96</v>
      </c>
      <c r="B104" s="89">
        <v>133993</v>
      </c>
      <c r="C104" s="72">
        <v>46034</v>
      </c>
      <c r="D104" s="71">
        <v>0.625</v>
      </c>
      <c r="E104" s="70"/>
      <c r="F104" s="120">
        <v>8.9</v>
      </c>
      <c r="G104" s="69" t="s">
        <v>208</v>
      </c>
      <c r="H104" s="94">
        <v>0.61805555555555558</v>
      </c>
      <c r="I104" s="94" t="s">
        <v>55</v>
      </c>
      <c r="J104" s="88"/>
      <c r="K104" s="30"/>
      <c r="L104" s="19" t="s">
        <v>43</v>
      </c>
    </row>
    <row r="105" spans="1:12" s="68" customFormat="1" ht="15" x14ac:dyDescent="0.25">
      <c r="A105" s="46">
        <v>97</v>
      </c>
      <c r="B105" s="89">
        <v>133994</v>
      </c>
      <c r="C105" s="72">
        <v>46034</v>
      </c>
      <c r="D105" s="71"/>
      <c r="E105" s="70">
        <v>0.625</v>
      </c>
      <c r="F105" s="120">
        <v>14.2</v>
      </c>
      <c r="G105" s="69" t="s">
        <v>209</v>
      </c>
      <c r="H105" s="94"/>
      <c r="I105" s="94" t="s">
        <v>54</v>
      </c>
      <c r="J105" s="88"/>
      <c r="K105" s="30"/>
      <c r="L105" s="19" t="s">
        <v>43</v>
      </c>
    </row>
    <row r="106" spans="1:12" s="68" customFormat="1" ht="15" x14ac:dyDescent="0.25">
      <c r="A106" s="46">
        <v>98</v>
      </c>
      <c r="B106" s="89">
        <v>133995</v>
      </c>
      <c r="C106" s="72">
        <v>46034</v>
      </c>
      <c r="D106" s="71"/>
      <c r="E106" s="70">
        <v>0.66666666666666663</v>
      </c>
      <c r="F106" s="120">
        <v>8.9</v>
      </c>
      <c r="G106" s="69" t="s">
        <v>191</v>
      </c>
      <c r="H106" s="94"/>
      <c r="I106" s="94" t="s">
        <v>54</v>
      </c>
      <c r="J106" s="88"/>
      <c r="K106" s="30"/>
      <c r="L106" s="19" t="s">
        <v>43</v>
      </c>
    </row>
    <row r="107" spans="1:12" s="68" customFormat="1" ht="15" x14ac:dyDescent="0.25">
      <c r="A107" s="46">
        <v>99</v>
      </c>
      <c r="B107" s="89">
        <v>133996</v>
      </c>
      <c r="C107" s="72">
        <v>46035</v>
      </c>
      <c r="D107" s="71">
        <v>0.25</v>
      </c>
      <c r="E107" s="70"/>
      <c r="F107" s="120">
        <v>12.8</v>
      </c>
      <c r="G107" s="69" t="s">
        <v>210</v>
      </c>
      <c r="H107" s="94">
        <v>0.24861111111111112</v>
      </c>
      <c r="I107" s="94" t="s">
        <v>55</v>
      </c>
      <c r="J107" s="88"/>
      <c r="K107" s="30"/>
      <c r="L107" s="19" t="s">
        <v>43</v>
      </c>
    </row>
    <row r="108" spans="1:12" s="68" customFormat="1" ht="15" x14ac:dyDescent="0.25">
      <c r="A108" s="46">
        <v>100</v>
      </c>
      <c r="B108" s="89">
        <v>133997</v>
      </c>
      <c r="C108" s="72">
        <v>46035</v>
      </c>
      <c r="D108" s="71"/>
      <c r="E108" s="70">
        <v>0.25</v>
      </c>
      <c r="F108" s="120">
        <v>8.9</v>
      </c>
      <c r="G108" s="69" t="s">
        <v>211</v>
      </c>
      <c r="H108" s="94"/>
      <c r="I108" s="94" t="s">
        <v>54</v>
      </c>
      <c r="J108" s="88"/>
      <c r="K108" s="30"/>
      <c r="L108" s="19" t="s">
        <v>43</v>
      </c>
    </row>
    <row r="109" spans="1:12" s="68" customFormat="1" ht="15" x14ac:dyDescent="0.25">
      <c r="A109" s="46">
        <v>101</v>
      </c>
      <c r="B109" s="89">
        <v>133998</v>
      </c>
      <c r="C109" s="72">
        <v>46035</v>
      </c>
      <c r="D109" s="71">
        <v>0.29166666666666669</v>
      </c>
      <c r="E109" s="70"/>
      <c r="F109" s="120">
        <v>8</v>
      </c>
      <c r="G109" s="69" t="s">
        <v>136</v>
      </c>
      <c r="H109" s="94"/>
      <c r="I109" s="94" t="s">
        <v>55</v>
      </c>
      <c r="J109" s="88"/>
      <c r="K109" s="30"/>
      <c r="L109" s="19" t="s">
        <v>43</v>
      </c>
    </row>
    <row r="110" spans="1:12" s="68" customFormat="1" ht="15" x14ac:dyDescent="0.25">
      <c r="A110" s="46">
        <v>102</v>
      </c>
      <c r="B110" s="89">
        <v>133999</v>
      </c>
      <c r="C110" s="72">
        <v>46035</v>
      </c>
      <c r="D110" s="71">
        <v>0.58333333333333337</v>
      </c>
      <c r="E110" s="70"/>
      <c r="F110" s="120">
        <v>9</v>
      </c>
      <c r="G110" s="69" t="s">
        <v>212</v>
      </c>
      <c r="H110" s="94">
        <v>0.57708333333333328</v>
      </c>
      <c r="I110" s="94" t="s">
        <v>55</v>
      </c>
      <c r="J110" s="88"/>
      <c r="K110" s="30"/>
      <c r="L110" s="19" t="s">
        <v>43</v>
      </c>
    </row>
    <row r="111" spans="1:12" s="68" customFormat="1" ht="15" x14ac:dyDescent="0.25">
      <c r="A111" s="46">
        <v>103</v>
      </c>
      <c r="B111" s="89">
        <v>134000</v>
      </c>
      <c r="C111" s="72">
        <v>46035</v>
      </c>
      <c r="D111" s="71">
        <v>0.625</v>
      </c>
      <c r="E111" s="70"/>
      <c r="F111" s="120">
        <v>9.6</v>
      </c>
      <c r="G111" s="69" t="s">
        <v>208</v>
      </c>
      <c r="H111" s="94">
        <v>0.61944444444444446</v>
      </c>
      <c r="I111" s="94" t="s">
        <v>55</v>
      </c>
      <c r="J111" s="88"/>
      <c r="K111" s="30"/>
      <c r="L111" s="19" t="s">
        <v>43</v>
      </c>
    </row>
    <row r="112" spans="1:12" s="68" customFormat="1" ht="15" x14ac:dyDescent="0.25">
      <c r="A112" s="46">
        <v>104</v>
      </c>
      <c r="B112" s="89">
        <v>136802</v>
      </c>
      <c r="C112" s="72">
        <v>46036</v>
      </c>
      <c r="D112" s="71">
        <v>0.25</v>
      </c>
      <c r="E112" s="70"/>
      <c r="F112" s="120">
        <v>19.3</v>
      </c>
      <c r="G112" s="69" t="s">
        <v>97</v>
      </c>
      <c r="H112" s="94">
        <v>0.24305555555555555</v>
      </c>
      <c r="I112" s="94" t="s">
        <v>55</v>
      </c>
      <c r="J112" s="88"/>
      <c r="K112" s="30"/>
      <c r="L112" s="19" t="s">
        <v>43</v>
      </c>
    </row>
    <row r="113" spans="1:12" s="68" customFormat="1" ht="15" x14ac:dyDescent="0.25">
      <c r="A113" s="46">
        <v>105</v>
      </c>
      <c r="B113" s="89">
        <v>136803</v>
      </c>
      <c r="C113" s="72">
        <v>46036</v>
      </c>
      <c r="D113" s="71"/>
      <c r="E113" s="70">
        <v>0.25</v>
      </c>
      <c r="F113" s="120">
        <v>11</v>
      </c>
      <c r="G113" s="69" t="s">
        <v>182</v>
      </c>
      <c r="H113" s="94"/>
      <c r="I113" s="94" t="s">
        <v>54</v>
      </c>
      <c r="J113" s="88"/>
      <c r="K113" s="30"/>
      <c r="L113" s="19" t="s">
        <v>43</v>
      </c>
    </row>
    <row r="114" spans="1:12" s="68" customFormat="1" ht="15" x14ac:dyDescent="0.25">
      <c r="A114" s="46">
        <v>106</v>
      </c>
      <c r="B114" s="89">
        <v>136805</v>
      </c>
      <c r="C114" s="72">
        <v>46036</v>
      </c>
      <c r="D114" s="71">
        <v>0.58333333333333337</v>
      </c>
      <c r="E114" s="70"/>
      <c r="F114" s="120">
        <v>9.6</v>
      </c>
      <c r="G114" s="69" t="s">
        <v>206</v>
      </c>
      <c r="H114" s="94">
        <v>0.57777777777777783</v>
      </c>
      <c r="I114" s="94" t="s">
        <v>55</v>
      </c>
      <c r="J114" s="88"/>
      <c r="K114" s="30"/>
      <c r="L114" s="19" t="s">
        <v>43</v>
      </c>
    </row>
    <row r="115" spans="1:12" s="68" customFormat="1" ht="15" x14ac:dyDescent="0.25">
      <c r="A115" s="46">
        <v>107</v>
      </c>
      <c r="B115" s="89">
        <v>136806</v>
      </c>
      <c r="C115" s="72">
        <v>46036</v>
      </c>
      <c r="D115" s="71">
        <v>0.625</v>
      </c>
      <c r="E115" s="70"/>
      <c r="F115" s="120">
        <v>9.6</v>
      </c>
      <c r="G115" s="69" t="s">
        <v>208</v>
      </c>
      <c r="H115" s="94">
        <v>0.6166666666666667</v>
      </c>
      <c r="I115" s="94" t="s">
        <v>55</v>
      </c>
      <c r="J115" s="88"/>
      <c r="K115" s="30"/>
      <c r="L115" s="19" t="s">
        <v>43</v>
      </c>
    </row>
    <row r="116" spans="1:12" s="68" customFormat="1" ht="15" x14ac:dyDescent="0.25">
      <c r="A116" s="46">
        <v>108</v>
      </c>
      <c r="B116" s="89">
        <v>136807</v>
      </c>
      <c r="C116" s="72">
        <v>46036</v>
      </c>
      <c r="D116" s="71"/>
      <c r="E116" s="70">
        <v>0.625</v>
      </c>
      <c r="F116" s="120">
        <v>9.5</v>
      </c>
      <c r="G116" s="69" t="s">
        <v>214</v>
      </c>
      <c r="H116" s="94"/>
      <c r="I116" s="94" t="s">
        <v>54</v>
      </c>
      <c r="J116" s="88"/>
      <c r="K116" s="30"/>
      <c r="L116" s="19" t="s">
        <v>43</v>
      </c>
    </row>
    <row r="117" spans="1:12" s="68" customFormat="1" ht="15" x14ac:dyDescent="0.25">
      <c r="A117" s="46">
        <v>109</v>
      </c>
      <c r="B117" s="89">
        <v>136808</v>
      </c>
      <c r="C117" s="45">
        <v>46036</v>
      </c>
      <c r="D117" s="71"/>
      <c r="E117" s="70">
        <v>0.66666666666666663</v>
      </c>
      <c r="F117" s="102">
        <v>9</v>
      </c>
      <c r="G117" s="88" t="s">
        <v>178</v>
      </c>
      <c r="H117" s="94"/>
      <c r="I117" s="94" t="s">
        <v>54</v>
      </c>
      <c r="J117" s="88"/>
      <c r="K117" s="30"/>
      <c r="L117" s="19" t="s">
        <v>43</v>
      </c>
    </row>
    <row r="118" spans="1:12" s="68" customFormat="1" ht="15" x14ac:dyDescent="0.25">
      <c r="A118" s="46">
        <v>110</v>
      </c>
      <c r="B118" s="89">
        <v>136810</v>
      </c>
      <c r="C118" s="45">
        <v>46037</v>
      </c>
      <c r="D118" s="71">
        <v>0.25</v>
      </c>
      <c r="E118" s="70"/>
      <c r="F118" s="102">
        <v>12</v>
      </c>
      <c r="G118" s="88" t="s">
        <v>215</v>
      </c>
      <c r="H118" s="94">
        <v>0.24583333333333335</v>
      </c>
      <c r="I118" s="94" t="s">
        <v>55</v>
      </c>
      <c r="J118" s="88"/>
      <c r="K118" s="147" t="s">
        <v>216</v>
      </c>
      <c r="L118" s="19" t="s">
        <v>43</v>
      </c>
    </row>
    <row r="119" spans="1:12" s="68" customFormat="1" ht="15" x14ac:dyDescent="0.25">
      <c r="A119" s="46">
        <v>111</v>
      </c>
      <c r="B119" s="89">
        <v>136811</v>
      </c>
      <c r="C119" s="45">
        <v>46037</v>
      </c>
      <c r="D119" s="71"/>
      <c r="E119" s="70">
        <v>0.25</v>
      </c>
      <c r="F119" s="102">
        <v>9.6</v>
      </c>
      <c r="G119" s="88" t="s">
        <v>217</v>
      </c>
      <c r="H119" s="94"/>
      <c r="I119" s="94" t="s">
        <v>54</v>
      </c>
      <c r="J119" s="88"/>
      <c r="K119" s="30"/>
      <c r="L119" s="19" t="s">
        <v>43</v>
      </c>
    </row>
    <row r="120" spans="1:12" s="68" customFormat="1" ht="15" x14ac:dyDescent="0.25">
      <c r="A120" s="46">
        <v>112</v>
      </c>
      <c r="B120" s="89">
        <v>136812</v>
      </c>
      <c r="C120" s="45">
        <v>46037</v>
      </c>
      <c r="D120" s="71">
        <v>0.29166666666666669</v>
      </c>
      <c r="E120" s="70"/>
      <c r="F120" s="102">
        <v>9.5</v>
      </c>
      <c r="G120" s="88" t="s">
        <v>178</v>
      </c>
      <c r="H120" s="94">
        <v>0.28402777777777777</v>
      </c>
      <c r="I120" s="94" t="s">
        <v>55</v>
      </c>
      <c r="J120" s="88"/>
      <c r="K120" s="30"/>
      <c r="L120" s="19" t="s">
        <v>43</v>
      </c>
    </row>
    <row r="121" spans="1:12" s="68" customFormat="1" ht="15" x14ac:dyDescent="0.25">
      <c r="A121" s="46">
        <v>113</v>
      </c>
      <c r="B121" s="89">
        <v>133813</v>
      </c>
      <c r="C121" s="45">
        <v>46037</v>
      </c>
      <c r="D121" s="71">
        <v>0.58333333333333337</v>
      </c>
      <c r="E121" s="70"/>
      <c r="F121" s="102">
        <v>9.6999999999999993</v>
      </c>
      <c r="G121" s="88" t="s">
        <v>212</v>
      </c>
      <c r="H121" s="94">
        <v>0.57430555555555551</v>
      </c>
      <c r="I121" s="94" t="s">
        <v>55</v>
      </c>
      <c r="J121" s="88"/>
      <c r="K121" s="30"/>
      <c r="L121" s="19" t="s">
        <v>43</v>
      </c>
    </row>
    <row r="122" spans="1:12" s="68" customFormat="1" ht="15" x14ac:dyDescent="0.25">
      <c r="A122" s="46">
        <v>114</v>
      </c>
      <c r="B122" s="89">
        <v>133814</v>
      </c>
      <c r="C122" s="45">
        <v>46037</v>
      </c>
      <c r="D122" s="71">
        <v>0.625</v>
      </c>
      <c r="E122" s="70"/>
      <c r="F122" s="102">
        <v>9.5</v>
      </c>
      <c r="G122" s="88" t="s">
        <v>208</v>
      </c>
      <c r="H122" s="94">
        <v>0.61736111111111114</v>
      </c>
      <c r="I122" s="94" t="s">
        <v>55</v>
      </c>
      <c r="J122" s="88"/>
      <c r="K122" s="30"/>
      <c r="L122" s="19" t="s">
        <v>43</v>
      </c>
    </row>
    <row r="123" spans="1:12" s="68" customFormat="1" thickBot="1" x14ac:dyDescent="0.3">
      <c r="A123" s="46">
        <v>115</v>
      </c>
      <c r="B123" s="90">
        <v>133815</v>
      </c>
      <c r="C123" s="108">
        <v>46037</v>
      </c>
      <c r="D123" s="73"/>
      <c r="E123" s="74">
        <v>0.625</v>
      </c>
      <c r="F123" s="114">
        <v>9.5</v>
      </c>
      <c r="G123" s="106" t="s">
        <v>218</v>
      </c>
      <c r="H123" s="95"/>
      <c r="I123" s="95" t="s">
        <v>54</v>
      </c>
      <c r="J123" s="106"/>
      <c r="K123" s="65"/>
      <c r="L123" s="78" t="s">
        <v>43</v>
      </c>
    </row>
    <row r="124" spans="1:12" s="68" customFormat="1" ht="15" x14ac:dyDescent="0.25">
      <c r="A124" s="46">
        <v>116</v>
      </c>
      <c r="B124" s="44">
        <v>133452</v>
      </c>
      <c r="C124" s="45">
        <v>46020</v>
      </c>
      <c r="D124" s="71" t="s">
        <v>236</v>
      </c>
      <c r="E124" s="70"/>
      <c r="F124" s="69">
        <v>6</v>
      </c>
      <c r="G124" s="88" t="s">
        <v>237</v>
      </c>
      <c r="H124" s="94" t="s">
        <v>238</v>
      </c>
      <c r="I124" s="94" t="s">
        <v>55</v>
      </c>
      <c r="J124" s="88"/>
      <c r="K124" s="30"/>
      <c r="L124" s="19" t="s">
        <v>12</v>
      </c>
    </row>
    <row r="125" spans="1:12" s="68" customFormat="1" ht="15" x14ac:dyDescent="0.25">
      <c r="A125" s="46">
        <v>117</v>
      </c>
      <c r="B125" s="44">
        <v>133454</v>
      </c>
      <c r="C125" s="45">
        <v>46020</v>
      </c>
      <c r="D125" s="71" t="s">
        <v>239</v>
      </c>
      <c r="E125" s="70"/>
      <c r="F125" s="69">
        <v>11</v>
      </c>
      <c r="G125" s="88" t="s">
        <v>152</v>
      </c>
      <c r="H125" s="94" t="s">
        <v>240</v>
      </c>
      <c r="I125" s="94" t="s">
        <v>55</v>
      </c>
      <c r="J125" s="88"/>
      <c r="K125" s="30"/>
      <c r="L125" s="19" t="s">
        <v>12</v>
      </c>
    </row>
    <row r="126" spans="1:12" s="68" customFormat="1" ht="15" x14ac:dyDescent="0.25">
      <c r="A126" s="46">
        <v>118</v>
      </c>
      <c r="B126" s="44">
        <v>135998</v>
      </c>
      <c r="C126" s="45">
        <v>46020</v>
      </c>
      <c r="D126" s="71" t="s">
        <v>241</v>
      </c>
      <c r="E126" s="70"/>
      <c r="F126" s="69">
        <v>6.5</v>
      </c>
      <c r="G126" s="88" t="s">
        <v>242</v>
      </c>
      <c r="H126" s="94"/>
      <c r="I126" s="94" t="s">
        <v>55</v>
      </c>
      <c r="J126" s="88"/>
      <c r="K126" s="30"/>
      <c r="L126" s="19" t="s">
        <v>12</v>
      </c>
    </row>
    <row r="127" spans="1:12" s="68" customFormat="1" ht="15" x14ac:dyDescent="0.25">
      <c r="A127" s="46">
        <v>119</v>
      </c>
      <c r="B127" s="44">
        <v>136000</v>
      </c>
      <c r="C127" s="45">
        <v>46020</v>
      </c>
      <c r="D127" s="71"/>
      <c r="E127" s="70" t="s">
        <v>243</v>
      </c>
      <c r="F127" s="69">
        <v>6.5</v>
      </c>
      <c r="G127" s="88" t="s">
        <v>242</v>
      </c>
      <c r="H127" s="94"/>
      <c r="I127" s="94" t="s">
        <v>54</v>
      </c>
      <c r="J127" s="88"/>
      <c r="K127" s="30"/>
      <c r="L127" s="19" t="s">
        <v>12</v>
      </c>
    </row>
    <row r="128" spans="1:12" s="68" customFormat="1" ht="15" x14ac:dyDescent="0.25">
      <c r="A128" s="46">
        <v>120</v>
      </c>
      <c r="B128" s="44">
        <v>133455</v>
      </c>
      <c r="C128" s="45">
        <v>46020</v>
      </c>
      <c r="D128" s="71" t="s">
        <v>244</v>
      </c>
      <c r="E128" s="70"/>
      <c r="F128" s="69">
        <v>15.6</v>
      </c>
      <c r="G128" s="88" t="s">
        <v>245</v>
      </c>
      <c r="H128" s="94" t="s">
        <v>246</v>
      </c>
      <c r="I128" s="94" t="s">
        <v>55</v>
      </c>
      <c r="J128" s="88"/>
      <c r="K128" s="30"/>
      <c r="L128" s="19" t="s">
        <v>12</v>
      </c>
    </row>
    <row r="129" spans="1:12" s="68" customFormat="1" ht="15" x14ac:dyDescent="0.25">
      <c r="A129" s="46">
        <v>121</v>
      </c>
      <c r="B129" s="44">
        <v>133456</v>
      </c>
      <c r="C129" s="45">
        <v>46020</v>
      </c>
      <c r="D129" s="71" t="s">
        <v>244</v>
      </c>
      <c r="E129" s="70"/>
      <c r="F129" s="69">
        <v>6</v>
      </c>
      <c r="G129" s="88" t="s">
        <v>247</v>
      </c>
      <c r="H129" s="94" t="s">
        <v>244</v>
      </c>
      <c r="I129" s="94" t="s">
        <v>55</v>
      </c>
      <c r="J129" s="88"/>
      <c r="K129" s="30"/>
      <c r="L129" s="19" t="s">
        <v>12</v>
      </c>
    </row>
    <row r="130" spans="1:12" s="68" customFormat="1" ht="15" x14ac:dyDescent="0.25">
      <c r="A130" s="46">
        <v>122</v>
      </c>
      <c r="B130" s="44">
        <v>133457</v>
      </c>
      <c r="C130" s="45">
        <v>46385</v>
      </c>
      <c r="D130" s="71"/>
      <c r="E130" s="70" t="s">
        <v>244</v>
      </c>
      <c r="F130" s="69">
        <v>7.5</v>
      </c>
      <c r="G130" s="88" t="s">
        <v>248</v>
      </c>
      <c r="H130" s="94"/>
      <c r="I130" s="94" t="s">
        <v>54</v>
      </c>
      <c r="J130" s="88"/>
      <c r="K130" s="30"/>
      <c r="L130" s="19" t="s">
        <v>12</v>
      </c>
    </row>
    <row r="131" spans="1:12" s="68" customFormat="1" ht="15" x14ac:dyDescent="0.25">
      <c r="A131" s="46">
        <v>123</v>
      </c>
      <c r="B131" s="44">
        <v>133458</v>
      </c>
      <c r="C131" s="45">
        <v>46385</v>
      </c>
      <c r="D131" s="71"/>
      <c r="E131" s="70" t="s">
        <v>249</v>
      </c>
      <c r="F131" s="69">
        <v>16.7</v>
      </c>
      <c r="G131" s="88" t="s">
        <v>250</v>
      </c>
      <c r="H131" s="94"/>
      <c r="I131" s="94" t="s">
        <v>54</v>
      </c>
      <c r="J131" s="88"/>
      <c r="K131" s="30"/>
      <c r="L131" s="19" t="s">
        <v>12</v>
      </c>
    </row>
    <row r="132" spans="1:12" s="68" customFormat="1" ht="15" x14ac:dyDescent="0.25">
      <c r="A132" s="46">
        <v>124</v>
      </c>
      <c r="B132" s="44">
        <v>133459</v>
      </c>
      <c r="C132" s="45">
        <v>46020</v>
      </c>
      <c r="D132" s="71"/>
      <c r="E132" s="70" t="s">
        <v>251</v>
      </c>
      <c r="F132" s="69">
        <v>9</v>
      </c>
      <c r="G132" s="88" t="s">
        <v>252</v>
      </c>
      <c r="H132" s="94"/>
      <c r="I132" s="94" t="s">
        <v>54</v>
      </c>
      <c r="J132" s="88"/>
      <c r="K132" s="30"/>
      <c r="L132" s="19" t="s">
        <v>12</v>
      </c>
    </row>
    <row r="133" spans="1:12" s="68" customFormat="1" ht="15" x14ac:dyDescent="0.25">
      <c r="A133" s="46">
        <v>125</v>
      </c>
      <c r="B133" s="44">
        <v>133460</v>
      </c>
      <c r="C133" s="45">
        <v>46021</v>
      </c>
      <c r="D133" s="71"/>
      <c r="E133" s="70" t="s">
        <v>253</v>
      </c>
      <c r="F133" s="69">
        <v>11.5</v>
      </c>
      <c r="G133" s="88" t="s">
        <v>254</v>
      </c>
      <c r="H133" s="94"/>
      <c r="I133" s="94" t="s">
        <v>54</v>
      </c>
      <c r="J133" s="88"/>
      <c r="K133" s="30"/>
      <c r="L133" s="19" t="s">
        <v>12</v>
      </c>
    </row>
    <row r="134" spans="1:12" s="68" customFormat="1" ht="15" x14ac:dyDescent="0.25">
      <c r="A134" s="46">
        <v>126</v>
      </c>
      <c r="B134" s="44">
        <v>133461</v>
      </c>
      <c r="C134" s="45">
        <v>46021</v>
      </c>
      <c r="D134" s="71"/>
      <c r="E134" s="70" t="s">
        <v>255</v>
      </c>
      <c r="F134" s="69">
        <v>11</v>
      </c>
      <c r="G134" s="88" t="s">
        <v>256</v>
      </c>
      <c r="H134" s="94"/>
      <c r="I134" s="94" t="s">
        <v>54</v>
      </c>
      <c r="J134" s="88"/>
      <c r="K134" s="30"/>
      <c r="L134" s="19" t="s">
        <v>12</v>
      </c>
    </row>
    <row r="135" spans="1:12" s="68" customFormat="1" ht="15" x14ac:dyDescent="0.25">
      <c r="A135" s="46">
        <v>127</v>
      </c>
      <c r="B135" s="44">
        <v>133462</v>
      </c>
      <c r="C135" s="45">
        <v>46021</v>
      </c>
      <c r="D135" s="71"/>
      <c r="E135" s="70" t="s">
        <v>257</v>
      </c>
      <c r="F135" s="69">
        <v>6.9</v>
      </c>
      <c r="G135" s="88" t="s">
        <v>258</v>
      </c>
      <c r="H135" s="94"/>
      <c r="I135" s="94" t="s">
        <v>54</v>
      </c>
      <c r="J135" s="88"/>
      <c r="K135" s="30"/>
      <c r="L135" s="19" t="s">
        <v>12</v>
      </c>
    </row>
    <row r="136" spans="1:12" s="68" customFormat="1" ht="15" x14ac:dyDescent="0.25">
      <c r="A136" s="46">
        <v>128</v>
      </c>
      <c r="B136" s="44">
        <v>136304</v>
      </c>
      <c r="C136" s="45">
        <v>46021</v>
      </c>
      <c r="D136" s="71" t="s">
        <v>241</v>
      </c>
      <c r="E136" s="70"/>
      <c r="F136" s="69">
        <v>6.5</v>
      </c>
      <c r="G136" s="88" t="s">
        <v>242</v>
      </c>
      <c r="H136" s="94" t="s">
        <v>259</v>
      </c>
      <c r="I136" s="94" t="s">
        <v>55</v>
      </c>
      <c r="J136" s="88"/>
      <c r="K136" s="30"/>
      <c r="L136" s="19" t="s">
        <v>12</v>
      </c>
    </row>
    <row r="137" spans="1:12" s="68" customFormat="1" ht="15" x14ac:dyDescent="0.25">
      <c r="A137" s="46">
        <v>129</v>
      </c>
      <c r="B137" s="44">
        <v>133463</v>
      </c>
      <c r="C137" s="45">
        <v>46021</v>
      </c>
      <c r="D137" s="71" t="s">
        <v>244</v>
      </c>
      <c r="E137" s="70"/>
      <c r="F137" s="69">
        <v>14.5</v>
      </c>
      <c r="G137" s="88" t="s">
        <v>245</v>
      </c>
      <c r="H137" s="94" t="s">
        <v>260</v>
      </c>
      <c r="I137" s="94" t="s">
        <v>55</v>
      </c>
      <c r="J137" s="88"/>
      <c r="K137" s="30"/>
      <c r="L137" s="19" t="s">
        <v>12</v>
      </c>
    </row>
    <row r="138" spans="1:12" s="68" customFormat="1" ht="15" x14ac:dyDescent="0.25">
      <c r="A138" s="46">
        <v>130</v>
      </c>
      <c r="B138" s="44">
        <v>133464</v>
      </c>
      <c r="C138" s="45">
        <v>46021</v>
      </c>
      <c r="D138" s="71"/>
      <c r="E138" s="70" t="s">
        <v>244</v>
      </c>
      <c r="F138" s="69">
        <v>11</v>
      </c>
      <c r="G138" s="88" t="s">
        <v>261</v>
      </c>
      <c r="H138" s="94"/>
      <c r="I138" s="94" t="s">
        <v>54</v>
      </c>
      <c r="J138" s="88"/>
      <c r="K138" s="30"/>
      <c r="L138" s="19" t="s">
        <v>12</v>
      </c>
    </row>
    <row r="139" spans="1:12" s="68" customFormat="1" ht="15" x14ac:dyDescent="0.25">
      <c r="A139" s="46">
        <v>131</v>
      </c>
      <c r="B139" s="44">
        <v>133465</v>
      </c>
      <c r="C139" s="45">
        <v>46021</v>
      </c>
      <c r="D139" s="71"/>
      <c r="E139" s="70" t="s">
        <v>249</v>
      </c>
      <c r="F139" s="69">
        <v>16.7</v>
      </c>
      <c r="G139" s="88" t="s">
        <v>250</v>
      </c>
      <c r="H139" s="94"/>
      <c r="I139" s="94" t="s">
        <v>54</v>
      </c>
      <c r="J139" s="88"/>
      <c r="K139" s="30"/>
      <c r="L139" s="19" t="s">
        <v>12</v>
      </c>
    </row>
    <row r="140" spans="1:12" s="68" customFormat="1" ht="15" x14ac:dyDescent="0.25">
      <c r="A140" s="46">
        <v>132</v>
      </c>
      <c r="B140" s="44">
        <v>133466</v>
      </c>
      <c r="C140" s="45">
        <v>46021</v>
      </c>
      <c r="D140" s="71"/>
      <c r="E140" s="70" t="s">
        <v>251</v>
      </c>
      <c r="F140" s="69">
        <v>9</v>
      </c>
      <c r="G140" s="88" t="s">
        <v>252</v>
      </c>
      <c r="H140" s="94"/>
      <c r="I140" s="94" t="s">
        <v>54</v>
      </c>
      <c r="J140" s="88"/>
      <c r="K140" s="30"/>
      <c r="L140" s="19" t="s">
        <v>12</v>
      </c>
    </row>
    <row r="141" spans="1:12" s="68" customFormat="1" ht="15" x14ac:dyDescent="0.25">
      <c r="A141" s="46">
        <v>133</v>
      </c>
      <c r="B141" s="44">
        <v>133467</v>
      </c>
      <c r="C141" s="45">
        <v>46022</v>
      </c>
      <c r="D141" s="71"/>
      <c r="E141" s="70" t="s">
        <v>257</v>
      </c>
      <c r="F141" s="69">
        <v>16.3</v>
      </c>
      <c r="G141" s="88" t="s">
        <v>262</v>
      </c>
      <c r="H141" s="94"/>
      <c r="I141" s="94" t="s">
        <v>54</v>
      </c>
      <c r="J141" s="88"/>
      <c r="K141" s="30"/>
      <c r="L141" s="19" t="s">
        <v>12</v>
      </c>
    </row>
    <row r="142" spans="1:12" s="68" customFormat="1" ht="15" x14ac:dyDescent="0.25">
      <c r="A142" s="46">
        <v>134</v>
      </c>
      <c r="B142" s="44">
        <v>133468</v>
      </c>
      <c r="C142" s="45">
        <v>46022</v>
      </c>
      <c r="D142" s="71"/>
      <c r="E142" s="70" t="s">
        <v>253</v>
      </c>
      <c r="F142" s="69">
        <v>17.7</v>
      </c>
      <c r="G142" s="88" t="s">
        <v>263</v>
      </c>
      <c r="H142" s="94"/>
      <c r="I142" s="94" t="s">
        <v>54</v>
      </c>
      <c r="J142" s="88"/>
      <c r="K142" s="30"/>
      <c r="L142" s="19" t="s">
        <v>12</v>
      </c>
    </row>
    <row r="143" spans="1:12" s="68" customFormat="1" ht="15" x14ac:dyDescent="0.25">
      <c r="A143" s="46">
        <v>135</v>
      </c>
      <c r="B143" s="44">
        <v>133469</v>
      </c>
      <c r="C143" s="45">
        <v>46022</v>
      </c>
      <c r="D143" s="71"/>
      <c r="E143" s="70" t="s">
        <v>255</v>
      </c>
      <c r="F143" s="69">
        <v>11</v>
      </c>
      <c r="G143" s="88" t="s">
        <v>256</v>
      </c>
      <c r="H143" s="94"/>
      <c r="I143" s="94" t="s">
        <v>54</v>
      </c>
      <c r="J143" s="88"/>
      <c r="K143" s="30"/>
      <c r="L143" s="19" t="s">
        <v>12</v>
      </c>
    </row>
    <row r="144" spans="1:12" s="68" customFormat="1" ht="15" x14ac:dyDescent="0.25">
      <c r="A144" s="46">
        <v>136</v>
      </c>
      <c r="B144" s="44">
        <v>133471</v>
      </c>
      <c r="C144" s="45">
        <v>46387</v>
      </c>
      <c r="D144" s="71"/>
      <c r="E144" s="70" t="s">
        <v>264</v>
      </c>
      <c r="F144" s="69">
        <v>9.5</v>
      </c>
      <c r="G144" s="88" t="s">
        <v>265</v>
      </c>
      <c r="H144" s="94"/>
      <c r="I144" s="94" t="s">
        <v>54</v>
      </c>
      <c r="J144" s="88"/>
      <c r="K144" s="30"/>
      <c r="L144" s="19" t="s">
        <v>12</v>
      </c>
    </row>
    <row r="145" spans="1:12" s="68" customFormat="1" ht="15" x14ac:dyDescent="0.25">
      <c r="A145" s="46">
        <v>137</v>
      </c>
      <c r="B145" s="44">
        <v>133472</v>
      </c>
      <c r="C145" s="45">
        <v>46022</v>
      </c>
      <c r="D145" s="71" t="s">
        <v>239</v>
      </c>
      <c r="E145" s="70"/>
      <c r="F145" s="69">
        <v>9.4</v>
      </c>
      <c r="G145" s="88" t="s">
        <v>266</v>
      </c>
      <c r="H145" s="94" t="s">
        <v>267</v>
      </c>
      <c r="I145" s="94" t="s">
        <v>55</v>
      </c>
      <c r="J145" s="88"/>
      <c r="K145" s="30"/>
      <c r="L145" s="19" t="s">
        <v>12</v>
      </c>
    </row>
    <row r="146" spans="1:12" s="68" customFormat="1" ht="15" x14ac:dyDescent="0.25">
      <c r="A146" s="46">
        <v>138</v>
      </c>
      <c r="B146" s="44">
        <v>133473</v>
      </c>
      <c r="C146" s="45">
        <v>46027</v>
      </c>
      <c r="D146" s="71" t="s">
        <v>236</v>
      </c>
      <c r="E146" s="70"/>
      <c r="F146" s="69">
        <v>11.5</v>
      </c>
      <c r="G146" s="88" t="s">
        <v>268</v>
      </c>
      <c r="H146" s="94" t="s">
        <v>236</v>
      </c>
      <c r="I146" s="94" t="s">
        <v>55</v>
      </c>
      <c r="J146" s="88"/>
      <c r="K146" s="30"/>
      <c r="L146" s="19" t="s">
        <v>12</v>
      </c>
    </row>
    <row r="147" spans="1:12" s="68" customFormat="1" ht="15" x14ac:dyDescent="0.25">
      <c r="A147" s="46">
        <v>139</v>
      </c>
      <c r="B147" s="44">
        <v>133474</v>
      </c>
      <c r="C147" s="45">
        <v>46027</v>
      </c>
      <c r="D147" s="71" t="s">
        <v>264</v>
      </c>
      <c r="E147" s="70"/>
      <c r="F147" s="69">
        <v>14.2</v>
      </c>
      <c r="G147" s="88" t="s">
        <v>269</v>
      </c>
      <c r="H147" s="94" t="s">
        <v>270</v>
      </c>
      <c r="I147" s="94" t="s">
        <v>55</v>
      </c>
      <c r="J147" s="88"/>
      <c r="K147" s="30"/>
      <c r="L147" s="19" t="s">
        <v>12</v>
      </c>
    </row>
    <row r="148" spans="1:12" s="68" customFormat="1" ht="15" x14ac:dyDescent="0.25">
      <c r="A148" s="46">
        <v>140</v>
      </c>
      <c r="B148" s="44">
        <v>136311</v>
      </c>
      <c r="C148" s="45">
        <v>46027</v>
      </c>
      <c r="D148" s="71"/>
      <c r="E148" s="70" t="s">
        <v>271</v>
      </c>
      <c r="F148" s="69">
        <v>11</v>
      </c>
      <c r="G148" s="88" t="s">
        <v>272</v>
      </c>
      <c r="H148" s="94"/>
      <c r="I148" s="94" t="s">
        <v>54</v>
      </c>
      <c r="J148" s="88"/>
      <c r="K148" s="30"/>
      <c r="L148" s="19" t="s">
        <v>12</v>
      </c>
    </row>
    <row r="149" spans="1:12" s="68" customFormat="1" ht="15" x14ac:dyDescent="0.25">
      <c r="A149" s="46">
        <v>141</v>
      </c>
      <c r="B149" s="44">
        <v>133475</v>
      </c>
      <c r="C149" s="45">
        <v>46027</v>
      </c>
      <c r="D149" s="71" t="s">
        <v>244</v>
      </c>
      <c r="E149" s="70"/>
      <c r="F149" s="69">
        <v>11</v>
      </c>
      <c r="G149" s="88" t="s">
        <v>273</v>
      </c>
      <c r="H149" s="94" t="s">
        <v>246</v>
      </c>
      <c r="I149" s="94" t="s">
        <v>55</v>
      </c>
      <c r="J149" s="88"/>
      <c r="K149" s="30"/>
      <c r="L149" s="19" t="s">
        <v>12</v>
      </c>
    </row>
    <row r="150" spans="1:12" s="68" customFormat="1" ht="15" x14ac:dyDescent="0.25">
      <c r="A150" s="46">
        <v>142</v>
      </c>
      <c r="B150" s="44">
        <v>133476</v>
      </c>
      <c r="C150" s="45">
        <v>46027</v>
      </c>
      <c r="D150" s="71"/>
      <c r="E150" s="70" t="s">
        <v>244</v>
      </c>
      <c r="F150" s="69">
        <v>7.5</v>
      </c>
      <c r="G150" s="88" t="s">
        <v>248</v>
      </c>
      <c r="H150" s="94"/>
      <c r="I150" s="94" t="s">
        <v>54</v>
      </c>
      <c r="J150" s="88"/>
      <c r="K150" s="30"/>
      <c r="L150" s="19" t="s">
        <v>12</v>
      </c>
    </row>
    <row r="151" spans="1:12" s="68" customFormat="1" ht="15" x14ac:dyDescent="0.25">
      <c r="A151" s="46">
        <v>143</v>
      </c>
      <c r="B151" s="44">
        <v>133477</v>
      </c>
      <c r="C151" s="45">
        <v>46027</v>
      </c>
      <c r="D151" s="71"/>
      <c r="E151" s="70" t="s">
        <v>249</v>
      </c>
      <c r="F151" s="69">
        <v>13</v>
      </c>
      <c r="G151" s="88" t="s">
        <v>274</v>
      </c>
      <c r="H151" s="94"/>
      <c r="I151" s="94" t="s">
        <v>54</v>
      </c>
      <c r="J151" s="88"/>
      <c r="K151" s="30"/>
      <c r="L151" s="19" t="s">
        <v>12</v>
      </c>
    </row>
    <row r="152" spans="1:12" s="68" customFormat="1" ht="15" x14ac:dyDescent="0.25">
      <c r="A152" s="46">
        <v>144</v>
      </c>
      <c r="B152" s="44">
        <v>133479</v>
      </c>
      <c r="C152" s="45">
        <v>46028</v>
      </c>
      <c r="D152" s="71"/>
      <c r="E152" s="70" t="s">
        <v>253</v>
      </c>
      <c r="F152" s="69">
        <v>11</v>
      </c>
      <c r="G152" s="88" t="s">
        <v>275</v>
      </c>
      <c r="H152" s="94"/>
      <c r="I152" s="94" t="s">
        <v>54</v>
      </c>
      <c r="J152" s="88"/>
      <c r="K152" s="30"/>
      <c r="L152" s="19" t="s">
        <v>12</v>
      </c>
    </row>
    <row r="153" spans="1:12" s="68" customFormat="1" ht="15" x14ac:dyDescent="0.25">
      <c r="A153" s="46">
        <v>145</v>
      </c>
      <c r="B153" s="44">
        <v>133480</v>
      </c>
      <c r="C153" s="45">
        <v>46028</v>
      </c>
      <c r="D153" s="71"/>
      <c r="E153" s="70" t="s">
        <v>255</v>
      </c>
      <c r="F153" s="69">
        <v>6.5</v>
      </c>
      <c r="G153" s="88" t="s">
        <v>276</v>
      </c>
      <c r="H153" s="94"/>
      <c r="I153" s="94" t="s">
        <v>54</v>
      </c>
      <c r="J153" s="88"/>
      <c r="K153" s="30"/>
      <c r="L153" s="19" t="s">
        <v>12</v>
      </c>
    </row>
    <row r="154" spans="1:12" s="68" customFormat="1" ht="15" x14ac:dyDescent="0.25">
      <c r="A154" s="46">
        <v>146</v>
      </c>
      <c r="B154" s="44">
        <v>133481</v>
      </c>
      <c r="C154" s="45">
        <v>46028</v>
      </c>
      <c r="D154" s="71" t="s">
        <v>244</v>
      </c>
      <c r="E154" s="70"/>
      <c r="F154" s="69">
        <v>10</v>
      </c>
      <c r="G154" s="88" t="s">
        <v>277</v>
      </c>
      <c r="H154" s="94" t="s">
        <v>278</v>
      </c>
      <c r="I154" s="94" t="s">
        <v>55</v>
      </c>
      <c r="J154" s="88"/>
      <c r="K154" s="30"/>
      <c r="L154" s="19" t="s">
        <v>12</v>
      </c>
    </row>
    <row r="155" spans="1:12" s="68" customFormat="1" ht="15" x14ac:dyDescent="0.25">
      <c r="A155" s="46">
        <v>147</v>
      </c>
      <c r="B155" s="44">
        <v>133482</v>
      </c>
      <c r="C155" s="45">
        <v>46028</v>
      </c>
      <c r="D155" s="71"/>
      <c r="E155" s="70" t="s">
        <v>244</v>
      </c>
      <c r="F155" s="69">
        <v>7.5</v>
      </c>
      <c r="G155" s="88" t="s">
        <v>248</v>
      </c>
      <c r="H155" s="94"/>
      <c r="I155" s="94" t="s">
        <v>54</v>
      </c>
      <c r="J155" s="88"/>
      <c r="K155" s="30"/>
      <c r="L155" s="19" t="s">
        <v>12</v>
      </c>
    </row>
    <row r="156" spans="1:12" s="68" customFormat="1" ht="15" x14ac:dyDescent="0.25">
      <c r="A156" s="46">
        <v>148</v>
      </c>
      <c r="B156" s="44">
        <v>133483</v>
      </c>
      <c r="C156" s="45">
        <v>46028</v>
      </c>
      <c r="D156" s="71"/>
      <c r="E156" s="70" t="s">
        <v>249</v>
      </c>
      <c r="F156" s="69">
        <v>14.6</v>
      </c>
      <c r="G156" s="88" t="s">
        <v>279</v>
      </c>
      <c r="H156" s="94"/>
      <c r="I156" s="94" t="s">
        <v>54</v>
      </c>
      <c r="J156" s="88"/>
      <c r="K156" s="30"/>
      <c r="L156" s="19" t="s">
        <v>12</v>
      </c>
    </row>
    <row r="157" spans="1:12" s="68" customFormat="1" ht="15" x14ac:dyDescent="0.25">
      <c r="A157" s="46">
        <v>149</v>
      </c>
      <c r="B157" s="44">
        <v>136511</v>
      </c>
      <c r="C157" s="45">
        <v>46029</v>
      </c>
      <c r="D157" s="71"/>
      <c r="E157" s="70" t="s">
        <v>253</v>
      </c>
      <c r="F157" s="69">
        <v>12.5</v>
      </c>
      <c r="G157" s="88" t="s">
        <v>280</v>
      </c>
      <c r="H157" s="94"/>
      <c r="I157" s="94" t="s">
        <v>54</v>
      </c>
      <c r="J157" s="88"/>
      <c r="K157" s="30"/>
      <c r="L157" s="19" t="s">
        <v>12</v>
      </c>
    </row>
    <row r="158" spans="1:12" s="68" customFormat="1" ht="15" x14ac:dyDescent="0.25">
      <c r="A158" s="46">
        <v>150</v>
      </c>
      <c r="B158" s="44">
        <v>133486</v>
      </c>
      <c r="C158" s="45">
        <v>46029</v>
      </c>
      <c r="D158" s="71"/>
      <c r="E158" s="70" t="s">
        <v>264</v>
      </c>
      <c r="F158" s="69">
        <v>13</v>
      </c>
      <c r="G158" s="88" t="s">
        <v>281</v>
      </c>
      <c r="H158" s="94"/>
      <c r="I158" s="94" t="s">
        <v>54</v>
      </c>
      <c r="J158" s="88"/>
      <c r="K158" s="30"/>
      <c r="L158" s="19" t="s">
        <v>12</v>
      </c>
    </row>
    <row r="159" spans="1:12" s="68" customFormat="1" ht="15" x14ac:dyDescent="0.25">
      <c r="A159" s="46">
        <v>151</v>
      </c>
      <c r="B159" s="44">
        <v>134031</v>
      </c>
      <c r="C159" s="45">
        <v>46029</v>
      </c>
      <c r="D159" s="71"/>
      <c r="E159" s="70" t="s">
        <v>282</v>
      </c>
      <c r="F159" s="69">
        <v>10</v>
      </c>
      <c r="G159" s="88" t="s">
        <v>283</v>
      </c>
      <c r="H159" s="94"/>
      <c r="I159" s="94" t="s">
        <v>54</v>
      </c>
      <c r="J159" s="88"/>
      <c r="K159" s="30"/>
      <c r="L159" s="19" t="s">
        <v>12</v>
      </c>
    </row>
    <row r="160" spans="1:12" s="68" customFormat="1" ht="15" x14ac:dyDescent="0.25">
      <c r="A160" s="46">
        <v>152</v>
      </c>
      <c r="B160" s="44">
        <v>136512</v>
      </c>
      <c r="C160" s="45">
        <v>46029</v>
      </c>
      <c r="D160" s="71"/>
      <c r="E160" s="70" t="s">
        <v>271</v>
      </c>
      <c r="F160" s="69">
        <v>12.5</v>
      </c>
      <c r="G160" s="88" t="s">
        <v>284</v>
      </c>
      <c r="H160" s="94"/>
      <c r="I160" s="94" t="s">
        <v>54</v>
      </c>
      <c r="J160" s="88"/>
      <c r="K160" s="30"/>
      <c r="L160" s="19" t="s">
        <v>12</v>
      </c>
    </row>
    <row r="161" spans="1:12" s="68" customFormat="1" ht="15" x14ac:dyDescent="0.25">
      <c r="A161" s="46">
        <v>153</v>
      </c>
      <c r="B161" s="44">
        <v>136318</v>
      </c>
      <c r="C161" s="45">
        <v>46029</v>
      </c>
      <c r="D161" s="71"/>
      <c r="E161" s="70" t="s">
        <v>271</v>
      </c>
      <c r="F161" s="69">
        <v>9.6999999999999993</v>
      </c>
      <c r="G161" s="88" t="s">
        <v>285</v>
      </c>
      <c r="H161" s="94"/>
      <c r="I161" s="94" t="s">
        <v>54</v>
      </c>
      <c r="J161" s="88"/>
      <c r="K161" s="30"/>
      <c r="L161" s="19" t="s">
        <v>12</v>
      </c>
    </row>
    <row r="162" spans="1:12" s="68" customFormat="1" ht="15" x14ac:dyDescent="0.25">
      <c r="A162" s="46">
        <v>154</v>
      </c>
      <c r="B162" s="44">
        <v>133487</v>
      </c>
      <c r="C162" s="45">
        <v>46029</v>
      </c>
      <c r="D162" s="71" t="s">
        <v>244</v>
      </c>
      <c r="E162" s="70"/>
      <c r="F162" s="69">
        <v>10</v>
      </c>
      <c r="G162" s="88" t="s">
        <v>277</v>
      </c>
      <c r="H162" s="94" t="s">
        <v>286</v>
      </c>
      <c r="I162" s="94" t="s">
        <v>55</v>
      </c>
      <c r="J162" s="88"/>
      <c r="K162" s="30"/>
      <c r="L162" s="19" t="s">
        <v>12</v>
      </c>
    </row>
    <row r="163" spans="1:12" s="68" customFormat="1" ht="15" x14ac:dyDescent="0.25">
      <c r="A163" s="46">
        <v>155</v>
      </c>
      <c r="B163" s="44">
        <v>133488</v>
      </c>
      <c r="C163" s="45">
        <v>46029</v>
      </c>
      <c r="D163" s="71"/>
      <c r="E163" s="70" t="s">
        <v>244</v>
      </c>
      <c r="F163" s="69">
        <v>7.5</v>
      </c>
      <c r="G163" s="88" t="s">
        <v>248</v>
      </c>
      <c r="H163" s="94"/>
      <c r="I163" s="94" t="s">
        <v>54</v>
      </c>
      <c r="J163" s="88"/>
      <c r="K163" s="30"/>
      <c r="L163" s="19" t="s">
        <v>12</v>
      </c>
    </row>
    <row r="164" spans="1:12" s="68" customFormat="1" ht="15" x14ac:dyDescent="0.25">
      <c r="A164" s="46">
        <v>156</v>
      </c>
      <c r="B164" s="44">
        <v>133489</v>
      </c>
      <c r="C164" s="45">
        <v>46029</v>
      </c>
      <c r="D164" s="71"/>
      <c r="E164" s="70" t="s">
        <v>249</v>
      </c>
      <c r="F164" s="69">
        <v>14.6</v>
      </c>
      <c r="G164" s="88" t="s">
        <v>279</v>
      </c>
      <c r="H164" s="94"/>
      <c r="I164" s="94" t="s">
        <v>54</v>
      </c>
      <c r="J164" s="88"/>
      <c r="K164" s="30"/>
      <c r="L164" s="19" t="s">
        <v>12</v>
      </c>
    </row>
    <row r="165" spans="1:12" s="68" customFormat="1" ht="15" x14ac:dyDescent="0.25">
      <c r="A165" s="46">
        <v>157</v>
      </c>
      <c r="B165" s="44">
        <v>136516</v>
      </c>
      <c r="C165" s="45">
        <v>46030</v>
      </c>
      <c r="D165" s="71"/>
      <c r="E165" s="70" t="s">
        <v>253</v>
      </c>
      <c r="F165" s="69">
        <v>11</v>
      </c>
      <c r="G165" s="88" t="s">
        <v>287</v>
      </c>
      <c r="H165" s="94"/>
      <c r="I165" s="94" t="s">
        <v>54</v>
      </c>
      <c r="J165" s="88"/>
      <c r="K165" s="30"/>
      <c r="L165" s="19" t="s">
        <v>12</v>
      </c>
    </row>
    <row r="166" spans="1:12" s="68" customFormat="1" ht="15" x14ac:dyDescent="0.25">
      <c r="A166" s="46">
        <v>158</v>
      </c>
      <c r="B166" s="44">
        <v>133493</v>
      </c>
      <c r="C166" s="45">
        <v>46030</v>
      </c>
      <c r="D166" s="71"/>
      <c r="E166" s="70" t="s">
        <v>264</v>
      </c>
      <c r="F166" s="69">
        <v>11</v>
      </c>
      <c r="G166" s="88" t="s">
        <v>288</v>
      </c>
      <c r="H166" s="94"/>
      <c r="I166" s="94" t="s">
        <v>54</v>
      </c>
      <c r="J166" s="88"/>
      <c r="K166" s="30"/>
      <c r="L166" s="19" t="s">
        <v>12</v>
      </c>
    </row>
    <row r="167" spans="1:12" s="68" customFormat="1" ht="15" x14ac:dyDescent="0.25">
      <c r="A167" s="46">
        <v>159</v>
      </c>
      <c r="B167" s="44">
        <v>133494</v>
      </c>
      <c r="C167" s="45">
        <v>46030</v>
      </c>
      <c r="D167" s="71" t="s">
        <v>244</v>
      </c>
      <c r="E167" s="70"/>
      <c r="F167" s="69">
        <v>12.7</v>
      </c>
      <c r="G167" s="88" t="s">
        <v>289</v>
      </c>
      <c r="H167" s="94" t="s">
        <v>260</v>
      </c>
      <c r="I167" s="94" t="s">
        <v>55</v>
      </c>
      <c r="J167" s="88"/>
      <c r="K167" s="30"/>
      <c r="L167" s="19" t="s">
        <v>12</v>
      </c>
    </row>
    <row r="168" spans="1:12" s="68" customFormat="1" ht="15" x14ac:dyDescent="0.25">
      <c r="A168" s="46">
        <v>160</v>
      </c>
      <c r="B168" s="44">
        <v>133495</v>
      </c>
      <c r="C168" s="45">
        <v>46030</v>
      </c>
      <c r="D168" s="71"/>
      <c r="E168" s="70" t="s">
        <v>244</v>
      </c>
      <c r="F168" s="69">
        <v>7.5</v>
      </c>
      <c r="G168" s="88" t="s">
        <v>248</v>
      </c>
      <c r="H168" s="94"/>
      <c r="I168" s="94" t="s">
        <v>54</v>
      </c>
      <c r="J168" s="88"/>
      <c r="K168" s="30"/>
      <c r="L168" s="19" t="s">
        <v>12</v>
      </c>
    </row>
    <row r="169" spans="1:12" s="68" customFormat="1" ht="15" x14ac:dyDescent="0.25">
      <c r="A169" s="46">
        <v>161</v>
      </c>
      <c r="B169" s="44">
        <v>133496</v>
      </c>
      <c r="C169" s="45">
        <v>46030</v>
      </c>
      <c r="D169" s="71"/>
      <c r="E169" s="70" t="s">
        <v>249</v>
      </c>
      <c r="F169" s="69">
        <v>14.6</v>
      </c>
      <c r="G169" s="88" t="s">
        <v>279</v>
      </c>
      <c r="H169" s="94"/>
      <c r="I169" s="94" t="s">
        <v>54</v>
      </c>
      <c r="J169" s="88"/>
      <c r="K169" s="30"/>
      <c r="L169" s="19" t="s">
        <v>12</v>
      </c>
    </row>
    <row r="170" spans="1:12" s="68" customFormat="1" ht="15" x14ac:dyDescent="0.25">
      <c r="A170" s="46">
        <v>162</v>
      </c>
      <c r="B170" s="44">
        <v>133497</v>
      </c>
      <c r="C170" s="45">
        <v>46030</v>
      </c>
      <c r="D170" s="71"/>
      <c r="E170" s="70" t="s">
        <v>251</v>
      </c>
      <c r="F170" s="69">
        <v>10</v>
      </c>
      <c r="G170" s="88" t="s">
        <v>121</v>
      </c>
      <c r="H170" s="94"/>
      <c r="I170" s="94" t="s">
        <v>54</v>
      </c>
      <c r="J170" s="88"/>
      <c r="K170" s="30"/>
      <c r="L170" s="19" t="s">
        <v>12</v>
      </c>
    </row>
    <row r="171" spans="1:12" s="68" customFormat="1" ht="15" x14ac:dyDescent="0.25">
      <c r="A171" s="46">
        <v>163</v>
      </c>
      <c r="B171" s="44">
        <v>136522</v>
      </c>
      <c r="C171" s="45">
        <v>46031</v>
      </c>
      <c r="D171" s="71"/>
      <c r="E171" s="70" t="s">
        <v>253</v>
      </c>
      <c r="F171" s="69">
        <v>12</v>
      </c>
      <c r="G171" s="88" t="s">
        <v>290</v>
      </c>
      <c r="H171" s="94"/>
      <c r="I171" s="94" t="s">
        <v>54</v>
      </c>
      <c r="J171" s="88"/>
      <c r="K171" s="30"/>
      <c r="L171" s="19" t="s">
        <v>12</v>
      </c>
    </row>
    <row r="172" spans="1:12" s="68" customFormat="1" ht="15" x14ac:dyDescent="0.25">
      <c r="A172" s="46">
        <v>164</v>
      </c>
      <c r="B172" s="44">
        <v>133499</v>
      </c>
      <c r="C172" s="45">
        <v>46031</v>
      </c>
      <c r="D172" s="71"/>
      <c r="E172" s="70" t="s">
        <v>253</v>
      </c>
      <c r="F172" s="69">
        <v>11</v>
      </c>
      <c r="G172" s="88" t="s">
        <v>287</v>
      </c>
      <c r="H172" s="94"/>
      <c r="I172" s="94" t="s">
        <v>54</v>
      </c>
      <c r="J172" s="88"/>
      <c r="K172" s="30"/>
      <c r="L172" s="19" t="s">
        <v>12</v>
      </c>
    </row>
    <row r="173" spans="1:12" s="68" customFormat="1" ht="15" x14ac:dyDescent="0.25">
      <c r="A173" s="46">
        <v>165</v>
      </c>
      <c r="B173" s="44">
        <v>133500</v>
      </c>
      <c r="C173" s="45">
        <v>46031</v>
      </c>
      <c r="D173" s="71"/>
      <c r="E173" s="70" t="s">
        <v>255</v>
      </c>
      <c r="F173" s="69">
        <v>6.5</v>
      </c>
      <c r="G173" s="88" t="s">
        <v>276</v>
      </c>
      <c r="H173" s="94"/>
      <c r="I173" s="94" t="s">
        <v>54</v>
      </c>
      <c r="J173" s="88"/>
      <c r="K173" s="30"/>
      <c r="L173" s="19" t="s">
        <v>12</v>
      </c>
    </row>
    <row r="174" spans="1:12" s="68" customFormat="1" ht="15" x14ac:dyDescent="0.25">
      <c r="A174" s="46">
        <v>166</v>
      </c>
      <c r="B174" s="44">
        <v>136701</v>
      </c>
      <c r="C174" s="45">
        <v>46031</v>
      </c>
      <c r="D174" s="71"/>
      <c r="E174" s="70" t="s">
        <v>291</v>
      </c>
      <c r="F174" s="69">
        <v>7</v>
      </c>
      <c r="G174" s="88" t="s">
        <v>292</v>
      </c>
      <c r="H174" s="94"/>
      <c r="I174" s="94" t="s">
        <v>55</v>
      </c>
      <c r="J174" s="88"/>
      <c r="K174" s="30"/>
      <c r="L174" s="19" t="s">
        <v>12</v>
      </c>
    </row>
    <row r="175" spans="1:12" s="68" customFormat="1" ht="15" x14ac:dyDescent="0.25">
      <c r="A175" s="46">
        <v>167</v>
      </c>
      <c r="B175" s="44">
        <v>136702</v>
      </c>
      <c r="C175" s="45">
        <v>46031</v>
      </c>
      <c r="D175" s="71" t="s">
        <v>244</v>
      </c>
      <c r="E175" s="70"/>
      <c r="F175" s="69">
        <v>12.7</v>
      </c>
      <c r="G175" s="88" t="s">
        <v>289</v>
      </c>
      <c r="H175" s="94" t="s">
        <v>293</v>
      </c>
      <c r="I175" s="94" t="s">
        <v>55</v>
      </c>
      <c r="J175" s="88"/>
      <c r="K175" s="30"/>
      <c r="L175" s="19" t="s">
        <v>12</v>
      </c>
    </row>
    <row r="176" spans="1:12" s="68" customFormat="1" ht="15" x14ac:dyDescent="0.25">
      <c r="A176" s="46">
        <v>168</v>
      </c>
      <c r="B176" s="44">
        <v>136703</v>
      </c>
      <c r="C176" s="45">
        <v>46031</v>
      </c>
      <c r="D176" s="71"/>
      <c r="E176" s="70" t="s">
        <v>244</v>
      </c>
      <c r="F176" s="69">
        <v>14.6</v>
      </c>
      <c r="G176" s="88" t="s">
        <v>279</v>
      </c>
      <c r="H176" s="94"/>
      <c r="I176" s="94" t="s">
        <v>54</v>
      </c>
      <c r="J176" s="88"/>
      <c r="K176" s="30"/>
      <c r="L176" s="19" t="s">
        <v>12</v>
      </c>
    </row>
    <row r="177" spans="1:12" s="68" customFormat="1" ht="15" x14ac:dyDescent="0.25">
      <c r="A177" s="46">
        <v>169</v>
      </c>
      <c r="B177" s="44">
        <v>136704</v>
      </c>
      <c r="C177" s="45">
        <v>46031</v>
      </c>
      <c r="D177" s="71"/>
      <c r="E177" s="70" t="s">
        <v>294</v>
      </c>
      <c r="F177" s="69">
        <v>10</v>
      </c>
      <c r="G177" s="88" t="s">
        <v>121</v>
      </c>
      <c r="H177" s="94"/>
      <c r="I177" s="94" t="s">
        <v>54</v>
      </c>
      <c r="J177" s="88"/>
      <c r="K177" s="30"/>
      <c r="L177" s="19" t="s">
        <v>12</v>
      </c>
    </row>
    <row r="178" spans="1:12" s="68" customFormat="1" ht="15" x14ac:dyDescent="0.25">
      <c r="A178" s="46">
        <v>170</v>
      </c>
      <c r="B178" s="44">
        <v>136705</v>
      </c>
      <c r="C178" s="45">
        <v>46032</v>
      </c>
      <c r="D178" s="71" t="s">
        <v>236</v>
      </c>
      <c r="E178" s="70"/>
      <c r="F178" s="69">
        <v>10</v>
      </c>
      <c r="G178" s="88" t="s">
        <v>295</v>
      </c>
      <c r="H178" s="94" t="s">
        <v>296</v>
      </c>
      <c r="I178" s="94" t="s">
        <v>55</v>
      </c>
      <c r="J178" s="88"/>
      <c r="K178" s="30"/>
      <c r="L178" s="19" t="s">
        <v>12</v>
      </c>
    </row>
    <row r="179" spans="1:12" s="68" customFormat="1" ht="15" x14ac:dyDescent="0.25">
      <c r="A179" s="46">
        <v>171</v>
      </c>
      <c r="B179" s="44">
        <v>136706</v>
      </c>
      <c r="C179" s="45">
        <v>46032</v>
      </c>
      <c r="D179" s="71"/>
      <c r="E179" s="70" t="s">
        <v>236</v>
      </c>
      <c r="F179" s="69">
        <v>13</v>
      </c>
      <c r="G179" s="88" t="s">
        <v>281</v>
      </c>
      <c r="H179" s="94"/>
      <c r="I179" s="94" t="s">
        <v>54</v>
      </c>
      <c r="J179" s="88"/>
      <c r="K179" s="30"/>
      <c r="L179" s="19" t="s">
        <v>12</v>
      </c>
    </row>
    <row r="180" spans="1:12" s="68" customFormat="1" ht="15" x14ac:dyDescent="0.25">
      <c r="A180" s="46">
        <v>172</v>
      </c>
      <c r="B180" s="44">
        <v>136707</v>
      </c>
      <c r="C180" s="45">
        <v>46032</v>
      </c>
      <c r="D180" s="71" t="s">
        <v>264</v>
      </c>
      <c r="E180" s="70"/>
      <c r="F180" s="69">
        <v>9.3000000000000007</v>
      </c>
      <c r="G180" s="88" t="s">
        <v>297</v>
      </c>
      <c r="H180" s="94" t="s">
        <v>298</v>
      </c>
      <c r="I180" s="94" t="s">
        <v>55</v>
      </c>
      <c r="J180" s="88"/>
      <c r="K180" s="30"/>
      <c r="L180" s="19" t="s">
        <v>12</v>
      </c>
    </row>
    <row r="181" spans="1:12" s="68" customFormat="1" ht="15" x14ac:dyDescent="0.25">
      <c r="A181" s="46">
        <v>173</v>
      </c>
      <c r="B181" s="44">
        <v>136708</v>
      </c>
      <c r="C181" s="45">
        <v>46032</v>
      </c>
      <c r="D181" s="71" t="s">
        <v>241</v>
      </c>
      <c r="E181" s="70"/>
      <c r="F181" s="69">
        <v>11.5</v>
      </c>
      <c r="G181" s="88" t="s">
        <v>299</v>
      </c>
      <c r="H181" s="94" t="s">
        <v>300</v>
      </c>
      <c r="I181" s="94" t="s">
        <v>55</v>
      </c>
      <c r="J181" s="88"/>
      <c r="K181" s="30"/>
      <c r="L181" s="19" t="s">
        <v>12</v>
      </c>
    </row>
    <row r="182" spans="1:12" s="68" customFormat="1" ht="15" x14ac:dyDescent="0.25">
      <c r="A182" s="46">
        <v>174</v>
      </c>
      <c r="B182" s="44">
        <v>136709</v>
      </c>
      <c r="C182" s="45">
        <v>46032</v>
      </c>
      <c r="D182" s="71"/>
      <c r="E182" s="70" t="s">
        <v>301</v>
      </c>
      <c r="F182" s="69">
        <v>12.6</v>
      </c>
      <c r="G182" s="88" t="s">
        <v>302</v>
      </c>
      <c r="H182" s="94"/>
      <c r="I182" s="94" t="s">
        <v>54</v>
      </c>
      <c r="J182" s="88"/>
      <c r="K182" s="30"/>
      <c r="L182" s="19" t="s">
        <v>12</v>
      </c>
    </row>
    <row r="183" spans="1:12" s="68" customFormat="1" ht="15" x14ac:dyDescent="0.25">
      <c r="A183" s="46">
        <v>175</v>
      </c>
      <c r="B183" s="44">
        <v>136710</v>
      </c>
      <c r="C183" s="45">
        <v>46034</v>
      </c>
      <c r="D183" s="71" t="s">
        <v>236</v>
      </c>
      <c r="E183" s="70"/>
      <c r="F183" s="69">
        <v>6</v>
      </c>
      <c r="G183" s="88" t="s">
        <v>303</v>
      </c>
      <c r="H183" s="94" t="s">
        <v>296</v>
      </c>
      <c r="I183" s="94" t="s">
        <v>55</v>
      </c>
      <c r="J183" s="88"/>
      <c r="K183" s="30"/>
      <c r="L183" s="19" t="s">
        <v>12</v>
      </c>
    </row>
    <row r="184" spans="1:12" s="68" customFormat="1" ht="15" x14ac:dyDescent="0.25">
      <c r="A184" s="46">
        <v>176</v>
      </c>
      <c r="B184" s="44">
        <v>136712</v>
      </c>
      <c r="C184" s="45">
        <v>46034</v>
      </c>
      <c r="D184" s="71" t="s">
        <v>244</v>
      </c>
      <c r="E184" s="70"/>
      <c r="F184" s="69">
        <v>15.5</v>
      </c>
      <c r="G184" s="88" t="s">
        <v>304</v>
      </c>
      <c r="H184" s="94" t="s">
        <v>244</v>
      </c>
      <c r="I184" s="94" t="s">
        <v>55</v>
      </c>
      <c r="J184" s="88"/>
      <c r="K184" s="30"/>
      <c r="L184" s="19" t="s">
        <v>12</v>
      </c>
    </row>
    <row r="185" spans="1:12" s="68" customFormat="1" ht="15" x14ac:dyDescent="0.25">
      <c r="A185" s="46">
        <v>177</v>
      </c>
      <c r="B185" s="44">
        <v>136713</v>
      </c>
      <c r="C185" s="45">
        <v>46034</v>
      </c>
      <c r="D185" s="71"/>
      <c r="E185" s="70" t="s">
        <v>249</v>
      </c>
      <c r="F185" s="69">
        <v>12</v>
      </c>
      <c r="G185" s="88" t="s">
        <v>288</v>
      </c>
      <c r="H185" s="94"/>
      <c r="I185" s="94" t="s">
        <v>54</v>
      </c>
      <c r="J185" s="88"/>
      <c r="K185" s="30"/>
      <c r="L185" s="19" t="s">
        <v>12</v>
      </c>
    </row>
    <row r="186" spans="1:12" s="68" customFormat="1" ht="15" x14ac:dyDescent="0.25">
      <c r="A186" s="46">
        <v>178</v>
      </c>
      <c r="B186" s="44">
        <v>138717</v>
      </c>
      <c r="C186" s="45">
        <v>46034</v>
      </c>
      <c r="D186" s="71"/>
      <c r="E186" s="70" t="s">
        <v>249</v>
      </c>
      <c r="F186" s="69">
        <v>9</v>
      </c>
      <c r="G186" s="88" t="s">
        <v>305</v>
      </c>
      <c r="H186" s="94"/>
      <c r="I186" s="94" t="s">
        <v>54</v>
      </c>
      <c r="J186" s="88"/>
      <c r="K186" s="30"/>
      <c r="L186" s="19" t="s">
        <v>12</v>
      </c>
    </row>
    <row r="187" spans="1:12" s="68" customFormat="1" ht="15" x14ac:dyDescent="0.25">
      <c r="A187" s="46">
        <v>179</v>
      </c>
      <c r="B187" s="44">
        <v>136714</v>
      </c>
      <c r="C187" s="45">
        <v>46034</v>
      </c>
      <c r="D187" s="71"/>
      <c r="E187" s="70" t="s">
        <v>251</v>
      </c>
      <c r="F187" s="69">
        <v>10</v>
      </c>
      <c r="G187" s="88" t="s">
        <v>208</v>
      </c>
      <c r="H187" s="94"/>
      <c r="I187" s="94" t="s">
        <v>54</v>
      </c>
      <c r="J187" s="88"/>
      <c r="K187" s="30"/>
      <c r="L187" s="19" t="s">
        <v>12</v>
      </c>
    </row>
    <row r="188" spans="1:12" s="68" customFormat="1" ht="15" x14ac:dyDescent="0.25">
      <c r="A188" s="46">
        <v>180</v>
      </c>
      <c r="B188" s="44">
        <v>136715</v>
      </c>
      <c r="C188" s="45">
        <v>46035</v>
      </c>
      <c r="D188" s="71"/>
      <c r="E188" s="70" t="s">
        <v>257</v>
      </c>
      <c r="F188" s="69">
        <v>9.5</v>
      </c>
      <c r="G188" s="88" t="s">
        <v>306</v>
      </c>
      <c r="H188" s="94"/>
      <c r="I188" s="94" t="s">
        <v>54</v>
      </c>
      <c r="J188" s="88"/>
      <c r="K188" s="30"/>
      <c r="L188" s="19" t="s">
        <v>12</v>
      </c>
    </row>
    <row r="189" spans="1:12" s="68" customFormat="1" ht="15" x14ac:dyDescent="0.25">
      <c r="A189" s="46">
        <v>181</v>
      </c>
      <c r="B189" s="44">
        <v>136716</v>
      </c>
      <c r="C189" s="45">
        <v>46035</v>
      </c>
      <c r="D189" s="71"/>
      <c r="E189" s="70" t="s">
        <v>253</v>
      </c>
      <c r="F189" s="69">
        <v>12</v>
      </c>
      <c r="G189" s="88" t="s">
        <v>307</v>
      </c>
      <c r="H189" s="94"/>
      <c r="I189" s="94" t="s">
        <v>54</v>
      </c>
      <c r="J189" s="88"/>
      <c r="K189" s="30"/>
      <c r="L189" s="19" t="s">
        <v>12</v>
      </c>
    </row>
    <row r="190" spans="1:12" s="68" customFormat="1" ht="15" x14ac:dyDescent="0.25">
      <c r="A190" s="46">
        <v>182</v>
      </c>
      <c r="B190" s="44">
        <v>136718</v>
      </c>
      <c r="C190" s="45">
        <v>46035</v>
      </c>
      <c r="D190" s="71"/>
      <c r="E190" s="70" t="s">
        <v>255</v>
      </c>
      <c r="F190" s="69">
        <v>10</v>
      </c>
      <c r="G190" s="88" t="s">
        <v>256</v>
      </c>
      <c r="H190" s="94"/>
      <c r="I190" s="94" t="s">
        <v>54</v>
      </c>
      <c r="J190" s="88"/>
      <c r="K190" s="30"/>
      <c r="L190" s="19" t="s">
        <v>12</v>
      </c>
    </row>
    <row r="191" spans="1:12" s="68" customFormat="1" ht="15" x14ac:dyDescent="0.25">
      <c r="A191" s="46">
        <v>183</v>
      </c>
      <c r="B191" s="44">
        <v>136720</v>
      </c>
      <c r="C191" s="45">
        <v>46035</v>
      </c>
      <c r="D191" s="71"/>
      <c r="E191" s="70" t="s">
        <v>264</v>
      </c>
      <c r="F191" s="69">
        <v>10</v>
      </c>
      <c r="G191" s="88" t="s">
        <v>308</v>
      </c>
      <c r="H191" s="94"/>
      <c r="I191" s="94" t="s">
        <v>54</v>
      </c>
      <c r="J191" s="88"/>
      <c r="K191" s="30"/>
      <c r="L191" s="19" t="s">
        <v>12</v>
      </c>
    </row>
    <row r="192" spans="1:12" s="68" customFormat="1" ht="15" x14ac:dyDescent="0.25">
      <c r="A192" s="46">
        <v>184</v>
      </c>
      <c r="B192" s="44">
        <v>136529</v>
      </c>
      <c r="C192" s="45">
        <v>46034</v>
      </c>
      <c r="D192" s="71"/>
      <c r="E192" s="70" t="s">
        <v>271</v>
      </c>
      <c r="F192" s="69">
        <v>11</v>
      </c>
      <c r="G192" s="88" t="s">
        <v>309</v>
      </c>
      <c r="H192" s="94"/>
      <c r="I192" s="94" t="s">
        <v>54</v>
      </c>
      <c r="J192" s="88"/>
      <c r="K192" s="30"/>
      <c r="L192" s="19" t="s">
        <v>12</v>
      </c>
    </row>
    <row r="193" spans="1:12" s="68" customFormat="1" ht="15" x14ac:dyDescent="0.25">
      <c r="A193" s="46">
        <v>185</v>
      </c>
      <c r="B193" s="44">
        <v>136530</v>
      </c>
      <c r="C193" s="45">
        <v>46034</v>
      </c>
      <c r="D193" s="71" t="s">
        <v>310</v>
      </c>
      <c r="E193" s="70"/>
      <c r="F193" s="69">
        <v>11.5</v>
      </c>
      <c r="G193" s="88" t="s">
        <v>143</v>
      </c>
      <c r="H193" s="94" t="s">
        <v>311</v>
      </c>
      <c r="I193" s="94" t="s">
        <v>55</v>
      </c>
      <c r="J193" s="88"/>
      <c r="K193" s="30"/>
      <c r="L193" s="19" t="s">
        <v>12</v>
      </c>
    </row>
    <row r="194" spans="1:12" s="68" customFormat="1" ht="15" x14ac:dyDescent="0.25">
      <c r="A194" s="46">
        <v>186</v>
      </c>
      <c r="B194" s="44">
        <v>136177</v>
      </c>
      <c r="C194" s="45">
        <v>46035</v>
      </c>
      <c r="D194" s="71" t="s">
        <v>312</v>
      </c>
      <c r="E194" s="70"/>
      <c r="F194" s="69">
        <v>10</v>
      </c>
      <c r="G194" s="88" t="s">
        <v>313</v>
      </c>
      <c r="H194" s="94" t="s">
        <v>314</v>
      </c>
      <c r="I194" s="94" t="s">
        <v>55</v>
      </c>
      <c r="J194" s="88"/>
      <c r="K194" s="30"/>
      <c r="L194" s="19" t="s">
        <v>12</v>
      </c>
    </row>
    <row r="195" spans="1:12" s="68" customFormat="1" ht="15" x14ac:dyDescent="0.25">
      <c r="A195" s="46">
        <v>187</v>
      </c>
      <c r="B195" s="44">
        <v>136337</v>
      </c>
      <c r="C195" s="45">
        <v>46035</v>
      </c>
      <c r="D195" s="71" t="s">
        <v>310</v>
      </c>
      <c r="E195" s="70"/>
      <c r="F195" s="69">
        <v>11.3</v>
      </c>
      <c r="G195" s="88" t="s">
        <v>315</v>
      </c>
      <c r="H195" s="94" t="s">
        <v>316</v>
      </c>
      <c r="I195" s="94" t="s">
        <v>55</v>
      </c>
      <c r="J195" s="88"/>
      <c r="K195" s="30"/>
      <c r="L195" s="19" t="s">
        <v>12</v>
      </c>
    </row>
    <row r="196" spans="1:12" s="68" customFormat="1" ht="15" x14ac:dyDescent="0.25">
      <c r="A196" s="46">
        <v>188</v>
      </c>
      <c r="B196" s="44">
        <v>137721</v>
      </c>
      <c r="C196" s="45">
        <v>46035</v>
      </c>
      <c r="D196" s="71" t="s">
        <v>244</v>
      </c>
      <c r="E196" s="70"/>
      <c r="F196" s="69">
        <v>15.5</v>
      </c>
      <c r="G196" s="88" t="s">
        <v>304</v>
      </c>
      <c r="H196" s="94" t="s">
        <v>317</v>
      </c>
      <c r="I196" s="94" t="s">
        <v>55</v>
      </c>
      <c r="J196" s="88"/>
      <c r="K196" s="30"/>
      <c r="L196" s="19" t="s">
        <v>12</v>
      </c>
    </row>
    <row r="197" spans="1:12" s="68" customFormat="1" ht="15" x14ac:dyDescent="0.25">
      <c r="A197" s="46">
        <v>189</v>
      </c>
      <c r="B197" s="44">
        <v>136722</v>
      </c>
      <c r="C197" s="45">
        <v>46035</v>
      </c>
      <c r="D197" s="71"/>
      <c r="E197" s="70" t="s">
        <v>249</v>
      </c>
      <c r="F197" s="69">
        <v>12</v>
      </c>
      <c r="G197" s="88" t="s">
        <v>318</v>
      </c>
      <c r="H197" s="94"/>
      <c r="I197" s="94" t="s">
        <v>54</v>
      </c>
      <c r="J197" s="88"/>
      <c r="K197" s="30"/>
      <c r="L197" s="19" t="s">
        <v>12</v>
      </c>
    </row>
    <row r="198" spans="1:12" s="68" customFormat="1" ht="15" x14ac:dyDescent="0.25">
      <c r="A198" s="46">
        <v>190</v>
      </c>
      <c r="B198" s="44">
        <v>136726</v>
      </c>
      <c r="C198" s="45">
        <v>46035</v>
      </c>
      <c r="D198" s="71"/>
      <c r="E198" s="70" t="s">
        <v>249</v>
      </c>
      <c r="F198" s="69">
        <v>9</v>
      </c>
      <c r="G198" s="88" t="s">
        <v>305</v>
      </c>
      <c r="H198" s="94"/>
      <c r="I198" s="94" t="s">
        <v>54</v>
      </c>
      <c r="J198" s="88"/>
      <c r="K198" s="30"/>
      <c r="L198" s="19" t="s">
        <v>12</v>
      </c>
    </row>
    <row r="199" spans="1:12" s="68" customFormat="1" ht="15" x14ac:dyDescent="0.25">
      <c r="A199" s="46">
        <v>191</v>
      </c>
      <c r="B199" s="44">
        <v>136723</v>
      </c>
      <c r="C199" s="45">
        <v>46035</v>
      </c>
      <c r="D199" s="71"/>
      <c r="E199" s="70" t="s">
        <v>251</v>
      </c>
      <c r="F199" s="69">
        <v>16.5</v>
      </c>
      <c r="G199" s="88" t="s">
        <v>319</v>
      </c>
      <c r="H199" s="94"/>
      <c r="I199" s="94" t="s">
        <v>54</v>
      </c>
      <c r="J199" s="88"/>
      <c r="K199" s="30"/>
      <c r="L199" s="19" t="s">
        <v>12</v>
      </c>
    </row>
    <row r="200" spans="1:12" s="68" customFormat="1" ht="15" x14ac:dyDescent="0.25">
      <c r="A200" s="46">
        <v>192</v>
      </c>
      <c r="B200" s="44">
        <v>136724</v>
      </c>
      <c r="C200" s="45">
        <v>46036</v>
      </c>
      <c r="D200" s="71"/>
      <c r="E200" s="70" t="s">
        <v>253</v>
      </c>
      <c r="F200" s="69">
        <v>10</v>
      </c>
      <c r="G200" s="88" t="s">
        <v>320</v>
      </c>
      <c r="H200" s="94"/>
      <c r="I200" s="94" t="s">
        <v>54</v>
      </c>
      <c r="J200" s="88"/>
      <c r="K200" s="30"/>
      <c r="L200" s="19" t="s">
        <v>12</v>
      </c>
    </row>
    <row r="201" spans="1:12" s="68" customFormat="1" ht="15" x14ac:dyDescent="0.25">
      <c r="A201" s="46">
        <v>193</v>
      </c>
      <c r="B201" s="44">
        <v>136725</v>
      </c>
      <c r="C201" s="45">
        <v>46036</v>
      </c>
      <c r="D201" s="71"/>
      <c r="E201" s="70" t="s">
        <v>255</v>
      </c>
      <c r="F201" s="69">
        <v>11</v>
      </c>
      <c r="G201" s="88" t="s">
        <v>256</v>
      </c>
      <c r="H201" s="94"/>
      <c r="I201" s="94" t="s">
        <v>54</v>
      </c>
      <c r="J201" s="88"/>
      <c r="K201" s="30"/>
      <c r="L201" s="19" t="s">
        <v>12</v>
      </c>
    </row>
    <row r="202" spans="1:12" s="68" customFormat="1" ht="15" x14ac:dyDescent="0.25">
      <c r="A202" s="46">
        <v>194</v>
      </c>
      <c r="B202" s="44">
        <v>136728</v>
      </c>
      <c r="C202" s="45">
        <v>46036</v>
      </c>
      <c r="D202" s="71"/>
      <c r="E202" s="70" t="s">
        <v>264</v>
      </c>
      <c r="F202" s="69">
        <v>9.5</v>
      </c>
      <c r="G202" s="88" t="s">
        <v>321</v>
      </c>
      <c r="H202" s="94"/>
      <c r="I202" s="94" t="s">
        <v>54</v>
      </c>
      <c r="J202" s="88"/>
      <c r="K202" s="30"/>
      <c r="L202" s="19" t="s">
        <v>12</v>
      </c>
    </row>
    <row r="203" spans="1:12" s="68" customFormat="1" ht="15" x14ac:dyDescent="0.25">
      <c r="A203" s="46">
        <v>195</v>
      </c>
      <c r="B203" s="44">
        <v>136729</v>
      </c>
      <c r="C203" s="45">
        <v>46036</v>
      </c>
      <c r="D203" s="71" t="s">
        <v>239</v>
      </c>
      <c r="E203" s="70"/>
      <c r="F203" s="69">
        <v>8.9</v>
      </c>
      <c r="G203" s="88" t="s">
        <v>322</v>
      </c>
      <c r="H203" s="94" t="s">
        <v>323</v>
      </c>
      <c r="I203" s="94" t="s">
        <v>55</v>
      </c>
      <c r="J203" s="88"/>
      <c r="K203" s="30"/>
      <c r="L203" s="19" t="s">
        <v>12</v>
      </c>
    </row>
    <row r="204" spans="1:12" s="68" customFormat="1" ht="15" x14ac:dyDescent="0.25">
      <c r="A204" s="46">
        <v>196</v>
      </c>
      <c r="B204" s="44">
        <v>136731</v>
      </c>
      <c r="C204" s="45">
        <v>46036</v>
      </c>
      <c r="D204" s="71" t="s">
        <v>241</v>
      </c>
      <c r="E204" s="70"/>
      <c r="F204" s="69">
        <v>6</v>
      </c>
      <c r="G204" s="88" t="s">
        <v>324</v>
      </c>
      <c r="H204" s="94"/>
      <c r="I204" s="94" t="s">
        <v>55</v>
      </c>
      <c r="J204" s="88"/>
      <c r="K204" s="30"/>
      <c r="L204" s="19" t="s">
        <v>12</v>
      </c>
    </row>
    <row r="205" spans="1:12" s="68" customFormat="1" ht="15" x14ac:dyDescent="0.25">
      <c r="A205" s="46">
        <v>197</v>
      </c>
      <c r="B205" s="44">
        <v>136733</v>
      </c>
      <c r="C205" s="45">
        <v>46036</v>
      </c>
      <c r="D205" s="71"/>
      <c r="E205" s="70" t="s">
        <v>271</v>
      </c>
      <c r="F205" s="69">
        <v>12</v>
      </c>
      <c r="G205" s="88" t="s">
        <v>325</v>
      </c>
      <c r="H205" s="94"/>
      <c r="I205" s="94" t="s">
        <v>54</v>
      </c>
      <c r="J205" s="88"/>
      <c r="K205" s="30"/>
      <c r="L205" s="19" t="s">
        <v>12</v>
      </c>
    </row>
    <row r="206" spans="1:12" s="68" customFormat="1" ht="15" x14ac:dyDescent="0.25">
      <c r="A206" s="46">
        <v>198</v>
      </c>
      <c r="B206" s="44">
        <v>136341</v>
      </c>
      <c r="C206" s="45">
        <v>46036</v>
      </c>
      <c r="D206" s="71" t="s">
        <v>310</v>
      </c>
      <c r="E206" s="70"/>
      <c r="F206" s="69">
        <v>10</v>
      </c>
      <c r="G206" s="88" t="s">
        <v>315</v>
      </c>
      <c r="H206" s="94" t="s">
        <v>326</v>
      </c>
      <c r="I206" s="94" t="s">
        <v>55</v>
      </c>
      <c r="J206" s="88"/>
      <c r="K206" s="30"/>
      <c r="L206" s="19" t="s">
        <v>12</v>
      </c>
    </row>
    <row r="207" spans="1:12" s="68" customFormat="1" ht="15" x14ac:dyDescent="0.25">
      <c r="A207" s="46">
        <v>199</v>
      </c>
      <c r="B207" s="44">
        <v>136734</v>
      </c>
      <c r="C207" s="45">
        <v>46036</v>
      </c>
      <c r="D207" s="71" t="s">
        <v>244</v>
      </c>
      <c r="E207" s="70"/>
      <c r="F207" s="69">
        <v>13.5</v>
      </c>
      <c r="G207" s="88" t="s">
        <v>304</v>
      </c>
      <c r="H207" s="94" t="s">
        <v>278</v>
      </c>
      <c r="I207" s="94" t="s">
        <v>55</v>
      </c>
      <c r="J207" s="88"/>
      <c r="K207" s="30"/>
      <c r="L207" s="19" t="s">
        <v>12</v>
      </c>
    </row>
    <row r="208" spans="1:12" s="68" customFormat="1" ht="15" x14ac:dyDescent="0.25">
      <c r="A208" s="46">
        <v>200</v>
      </c>
      <c r="B208" s="44">
        <v>136735</v>
      </c>
      <c r="C208" s="45">
        <v>46036</v>
      </c>
      <c r="D208" s="71"/>
      <c r="E208" s="70" t="s">
        <v>249</v>
      </c>
      <c r="F208" s="69">
        <v>14</v>
      </c>
      <c r="G208" s="88" t="s">
        <v>327</v>
      </c>
      <c r="H208" s="94"/>
      <c r="I208" s="94" t="s">
        <v>54</v>
      </c>
      <c r="J208" s="88"/>
      <c r="K208" s="30"/>
      <c r="L208" s="19" t="s">
        <v>12</v>
      </c>
    </row>
    <row r="209" spans="1:12" s="68" customFormat="1" ht="15" x14ac:dyDescent="0.25">
      <c r="A209" s="46">
        <v>201</v>
      </c>
      <c r="B209" s="44">
        <v>136736</v>
      </c>
      <c r="C209" s="45">
        <v>46036</v>
      </c>
      <c r="D209" s="71"/>
      <c r="E209" s="70" t="s">
        <v>251</v>
      </c>
      <c r="F209" s="69">
        <v>10</v>
      </c>
      <c r="G209" s="88" t="s">
        <v>208</v>
      </c>
      <c r="H209" s="94"/>
      <c r="I209" s="94" t="s">
        <v>54</v>
      </c>
      <c r="J209" s="88"/>
      <c r="K209" s="30"/>
      <c r="L209" s="19" t="s">
        <v>12</v>
      </c>
    </row>
    <row r="210" spans="1:12" s="68" customFormat="1" ht="15" x14ac:dyDescent="0.25">
      <c r="A210" s="46">
        <v>202</v>
      </c>
      <c r="B210" s="44">
        <v>136737</v>
      </c>
      <c r="C210" s="45">
        <v>46037</v>
      </c>
      <c r="D210" s="71"/>
      <c r="E210" s="70" t="s">
        <v>257</v>
      </c>
      <c r="F210" s="69">
        <v>9</v>
      </c>
      <c r="G210" s="88" t="s">
        <v>306</v>
      </c>
      <c r="H210" s="94"/>
      <c r="I210" s="94" t="s">
        <v>54</v>
      </c>
      <c r="J210" s="88"/>
      <c r="K210" s="30"/>
      <c r="L210" s="19" t="s">
        <v>12</v>
      </c>
    </row>
    <row r="211" spans="1:12" s="68" customFormat="1" ht="15" x14ac:dyDescent="0.25">
      <c r="A211" s="46">
        <v>203</v>
      </c>
      <c r="B211" s="44">
        <v>136738</v>
      </c>
      <c r="C211" s="45">
        <v>46037</v>
      </c>
      <c r="D211" s="71"/>
      <c r="E211" s="70" t="s">
        <v>253</v>
      </c>
      <c r="F211" s="69">
        <v>12</v>
      </c>
      <c r="G211" s="88" t="s">
        <v>307</v>
      </c>
      <c r="H211" s="94"/>
      <c r="I211" s="94" t="s">
        <v>54</v>
      </c>
      <c r="J211" s="88"/>
      <c r="K211" s="30"/>
      <c r="L211" s="19" t="s">
        <v>12</v>
      </c>
    </row>
    <row r="212" spans="1:12" s="68" customFormat="1" ht="15" x14ac:dyDescent="0.25">
      <c r="A212" s="46">
        <v>204</v>
      </c>
      <c r="B212" s="44">
        <v>136739</v>
      </c>
      <c r="C212" s="45">
        <v>46037</v>
      </c>
      <c r="D212" s="71"/>
      <c r="E212" s="70" t="s">
        <v>255</v>
      </c>
      <c r="F212" s="69">
        <v>11</v>
      </c>
      <c r="G212" s="88" t="s">
        <v>256</v>
      </c>
      <c r="H212" s="94"/>
      <c r="I212" s="94" t="s">
        <v>54</v>
      </c>
      <c r="J212" s="88"/>
      <c r="K212" s="30"/>
      <c r="L212" s="19" t="s">
        <v>12</v>
      </c>
    </row>
    <row r="213" spans="1:12" s="68" customFormat="1" ht="15" x14ac:dyDescent="0.25">
      <c r="A213" s="46">
        <v>205</v>
      </c>
      <c r="B213" s="44">
        <v>136740</v>
      </c>
      <c r="C213" s="45">
        <v>46037</v>
      </c>
      <c r="D213" s="71" t="s">
        <v>310</v>
      </c>
      <c r="E213" s="70"/>
      <c r="F213" s="69">
        <v>11.3</v>
      </c>
      <c r="G213" s="88" t="s">
        <v>315</v>
      </c>
      <c r="H213" s="94" t="s">
        <v>328</v>
      </c>
      <c r="I213" s="94" t="s">
        <v>55</v>
      </c>
      <c r="J213" s="88"/>
      <c r="K213" s="30"/>
      <c r="L213" s="19" t="s">
        <v>12</v>
      </c>
    </row>
    <row r="214" spans="1:12" s="68" customFormat="1" ht="15" x14ac:dyDescent="0.25">
      <c r="A214" s="46">
        <v>206</v>
      </c>
      <c r="B214" s="44">
        <v>136741</v>
      </c>
      <c r="C214" s="45">
        <v>46037</v>
      </c>
      <c r="D214" s="71"/>
      <c r="E214" s="70" t="s">
        <v>310</v>
      </c>
      <c r="F214" s="69">
        <v>7.5</v>
      </c>
      <c r="G214" s="88" t="s">
        <v>329</v>
      </c>
      <c r="H214" s="94"/>
      <c r="I214" s="94" t="s">
        <v>54</v>
      </c>
      <c r="J214" s="88"/>
      <c r="K214" s="30"/>
      <c r="L214" s="19" t="s">
        <v>12</v>
      </c>
    </row>
    <row r="215" spans="1:12" s="68" customFormat="1" ht="15" x14ac:dyDescent="0.25">
      <c r="A215" s="46">
        <v>207</v>
      </c>
      <c r="B215" s="44">
        <v>136742</v>
      </c>
      <c r="C215" s="45">
        <v>46037</v>
      </c>
      <c r="D215" s="71" t="s">
        <v>244</v>
      </c>
      <c r="E215" s="70"/>
      <c r="F215" s="69">
        <v>13.5</v>
      </c>
      <c r="G215" s="88" t="s">
        <v>304</v>
      </c>
      <c r="H215" s="94" t="s">
        <v>244</v>
      </c>
      <c r="I215" s="94" t="s">
        <v>55</v>
      </c>
      <c r="J215" s="88"/>
      <c r="K215" s="30"/>
      <c r="L215" s="19" t="s">
        <v>12</v>
      </c>
    </row>
    <row r="216" spans="1:12" s="68" customFormat="1" ht="15" x14ac:dyDescent="0.25">
      <c r="A216" s="46">
        <v>208</v>
      </c>
      <c r="B216" s="44">
        <v>136743</v>
      </c>
      <c r="C216" s="45">
        <v>46037</v>
      </c>
      <c r="D216" s="71"/>
      <c r="E216" s="70" t="s">
        <v>244</v>
      </c>
      <c r="F216" s="69">
        <v>7</v>
      </c>
      <c r="G216" s="88" t="s">
        <v>248</v>
      </c>
      <c r="H216" s="94"/>
      <c r="I216" s="94" t="s">
        <v>54</v>
      </c>
      <c r="J216" s="88"/>
      <c r="K216" s="30"/>
      <c r="L216" s="19" t="s">
        <v>12</v>
      </c>
    </row>
    <row r="217" spans="1:12" s="68" customFormat="1" ht="15" x14ac:dyDescent="0.25">
      <c r="A217" s="46">
        <v>209</v>
      </c>
      <c r="B217" s="44">
        <v>136744</v>
      </c>
      <c r="C217" s="45">
        <v>46037</v>
      </c>
      <c r="D217" s="71"/>
      <c r="E217" s="70" t="s">
        <v>249</v>
      </c>
      <c r="F217" s="69">
        <v>11</v>
      </c>
      <c r="G217" s="88" t="s">
        <v>330</v>
      </c>
      <c r="H217" s="94"/>
      <c r="I217" s="94" t="s">
        <v>54</v>
      </c>
      <c r="J217" s="88"/>
      <c r="K217" s="30"/>
      <c r="L217" s="19" t="s">
        <v>12</v>
      </c>
    </row>
    <row r="218" spans="1:12" s="68" customFormat="1" thickBot="1" x14ac:dyDescent="0.3">
      <c r="A218" s="46">
        <v>210</v>
      </c>
      <c r="B218" s="154">
        <v>136745</v>
      </c>
      <c r="C218" s="108">
        <v>46037</v>
      </c>
      <c r="D218" s="73"/>
      <c r="E218" s="74" t="s">
        <v>251</v>
      </c>
      <c r="F218" s="75">
        <v>10</v>
      </c>
      <c r="G218" s="106" t="s">
        <v>331</v>
      </c>
      <c r="H218" s="95"/>
      <c r="I218" s="95" t="s">
        <v>54</v>
      </c>
      <c r="J218" s="106"/>
      <c r="K218" s="65"/>
      <c r="L218" s="78" t="s">
        <v>12</v>
      </c>
    </row>
    <row r="219" spans="1:12" s="68" customFormat="1" ht="15" x14ac:dyDescent="0.25">
      <c r="A219" s="46">
        <v>211</v>
      </c>
      <c r="B219" s="89">
        <v>135270</v>
      </c>
      <c r="C219" s="45">
        <v>46018</v>
      </c>
      <c r="D219" s="71"/>
      <c r="E219" s="70" t="s">
        <v>301</v>
      </c>
      <c r="F219" s="102">
        <v>16.5</v>
      </c>
      <c r="G219" s="88" t="s">
        <v>332</v>
      </c>
      <c r="H219" s="94"/>
      <c r="I219" s="94" t="s">
        <v>54</v>
      </c>
      <c r="J219" s="88"/>
      <c r="K219" s="30"/>
      <c r="L219" s="19" t="s">
        <v>58</v>
      </c>
    </row>
    <row r="220" spans="1:12" s="68" customFormat="1" ht="15" x14ac:dyDescent="0.25">
      <c r="A220" s="46">
        <v>212</v>
      </c>
      <c r="B220" s="44">
        <v>135271</v>
      </c>
      <c r="C220" s="45">
        <v>46020</v>
      </c>
      <c r="D220" s="71" t="s">
        <v>333</v>
      </c>
      <c r="E220" s="70"/>
      <c r="F220" s="69">
        <v>11.5</v>
      </c>
      <c r="G220" s="88" t="s">
        <v>334</v>
      </c>
      <c r="H220" s="94" t="s">
        <v>335</v>
      </c>
      <c r="I220" s="94" t="s">
        <v>55</v>
      </c>
      <c r="J220" s="88"/>
      <c r="K220" s="30"/>
      <c r="L220" s="19" t="s">
        <v>58</v>
      </c>
    </row>
    <row r="221" spans="1:12" s="68" customFormat="1" ht="15" x14ac:dyDescent="0.25">
      <c r="A221" s="46">
        <v>213</v>
      </c>
      <c r="B221" s="44">
        <v>135272</v>
      </c>
      <c r="C221" s="45">
        <v>46020</v>
      </c>
      <c r="D221" s="71"/>
      <c r="E221" s="70" t="s">
        <v>333</v>
      </c>
      <c r="F221" s="69">
        <v>7.5</v>
      </c>
      <c r="G221" s="88" t="s">
        <v>336</v>
      </c>
      <c r="H221" s="94"/>
      <c r="I221" s="94" t="s">
        <v>54</v>
      </c>
      <c r="J221" s="88"/>
      <c r="K221" s="30"/>
      <c r="L221" s="19" t="s">
        <v>58</v>
      </c>
    </row>
    <row r="222" spans="1:12" s="68" customFormat="1" ht="15" x14ac:dyDescent="0.25">
      <c r="A222" s="46">
        <v>214</v>
      </c>
      <c r="B222" s="44">
        <v>135274</v>
      </c>
      <c r="C222" s="45">
        <v>46020</v>
      </c>
      <c r="D222" s="71" t="s">
        <v>244</v>
      </c>
      <c r="E222" s="70"/>
      <c r="F222" s="69">
        <v>14</v>
      </c>
      <c r="G222" s="88" t="s">
        <v>337</v>
      </c>
      <c r="H222" s="94" t="s">
        <v>244</v>
      </c>
      <c r="I222" s="94" t="s">
        <v>55</v>
      </c>
      <c r="J222" s="88"/>
      <c r="K222" s="30"/>
      <c r="L222" s="19" t="s">
        <v>58</v>
      </c>
    </row>
    <row r="223" spans="1:12" s="68" customFormat="1" ht="15" x14ac:dyDescent="0.25">
      <c r="A223" s="46">
        <v>215</v>
      </c>
      <c r="B223" s="44">
        <v>135275</v>
      </c>
      <c r="C223" s="45">
        <v>46020</v>
      </c>
      <c r="D223" s="71"/>
      <c r="E223" s="70" t="s">
        <v>249</v>
      </c>
      <c r="F223" s="69">
        <v>11.5</v>
      </c>
      <c r="G223" s="88" t="s">
        <v>338</v>
      </c>
      <c r="H223" s="94"/>
      <c r="I223" s="94" t="s">
        <v>54</v>
      </c>
      <c r="J223" s="88"/>
      <c r="K223" s="30"/>
      <c r="L223" s="19" t="s">
        <v>58</v>
      </c>
    </row>
    <row r="224" spans="1:12" s="68" customFormat="1" ht="15" x14ac:dyDescent="0.25">
      <c r="A224" s="46">
        <v>216</v>
      </c>
      <c r="B224" s="44">
        <v>135276</v>
      </c>
      <c r="C224" s="45">
        <v>46020</v>
      </c>
      <c r="D224" s="71"/>
      <c r="E224" s="70" t="s">
        <v>251</v>
      </c>
      <c r="F224" s="69">
        <v>11.5</v>
      </c>
      <c r="G224" s="88" t="s">
        <v>334</v>
      </c>
      <c r="H224" s="94"/>
      <c r="I224" s="94" t="s">
        <v>54</v>
      </c>
      <c r="J224" s="88"/>
      <c r="K224" s="30"/>
      <c r="L224" s="19" t="s">
        <v>58</v>
      </c>
    </row>
    <row r="225" spans="1:12" s="68" customFormat="1" ht="15" x14ac:dyDescent="0.25">
      <c r="A225" s="46">
        <v>217</v>
      </c>
      <c r="B225" s="44">
        <v>135277</v>
      </c>
      <c r="C225" s="45">
        <v>46021</v>
      </c>
      <c r="D225" s="71"/>
      <c r="E225" s="70" t="s">
        <v>253</v>
      </c>
      <c r="F225" s="69">
        <v>8.8000000000000007</v>
      </c>
      <c r="G225" s="88" t="s">
        <v>339</v>
      </c>
      <c r="H225" s="94"/>
      <c r="I225" s="94" t="s">
        <v>54</v>
      </c>
      <c r="J225" s="88"/>
      <c r="K225" s="30"/>
      <c r="L225" s="19" t="s">
        <v>58</v>
      </c>
    </row>
    <row r="226" spans="1:12" s="68" customFormat="1" ht="15" x14ac:dyDescent="0.25">
      <c r="A226" s="46">
        <v>218</v>
      </c>
      <c r="B226" s="44">
        <v>135278</v>
      </c>
      <c r="C226" s="45">
        <v>46021</v>
      </c>
      <c r="D226" s="71" t="s">
        <v>244</v>
      </c>
      <c r="E226" s="70"/>
      <c r="F226" s="69">
        <v>14</v>
      </c>
      <c r="G226" s="88" t="s">
        <v>340</v>
      </c>
      <c r="H226" s="94" t="s">
        <v>260</v>
      </c>
      <c r="I226" s="94" t="s">
        <v>55</v>
      </c>
      <c r="J226" s="88"/>
      <c r="K226" s="30"/>
      <c r="L226" s="19" t="s">
        <v>58</v>
      </c>
    </row>
    <row r="227" spans="1:12" s="68" customFormat="1" ht="15" x14ac:dyDescent="0.25">
      <c r="A227" s="46">
        <v>219</v>
      </c>
      <c r="B227" s="44">
        <v>135279</v>
      </c>
      <c r="C227" s="45">
        <v>46021</v>
      </c>
      <c r="D227" s="71"/>
      <c r="E227" s="70" t="s">
        <v>249</v>
      </c>
      <c r="F227" s="69">
        <v>9.5</v>
      </c>
      <c r="G227" s="88" t="s">
        <v>338</v>
      </c>
      <c r="H227" s="94"/>
      <c r="I227" s="94" t="s">
        <v>54</v>
      </c>
      <c r="J227" s="88"/>
      <c r="K227" s="30"/>
      <c r="L227" s="19" t="s">
        <v>58</v>
      </c>
    </row>
    <row r="228" spans="1:12" s="68" customFormat="1" ht="15" x14ac:dyDescent="0.25">
      <c r="A228" s="46">
        <v>220</v>
      </c>
      <c r="B228" s="44">
        <v>135280</v>
      </c>
      <c r="C228" s="45">
        <v>46387</v>
      </c>
      <c r="D228" s="71"/>
      <c r="E228" s="70" t="s">
        <v>341</v>
      </c>
      <c r="F228" s="69">
        <v>8</v>
      </c>
      <c r="G228" s="88" t="s">
        <v>342</v>
      </c>
      <c r="H228" s="94"/>
      <c r="I228" s="94" t="s">
        <v>54</v>
      </c>
      <c r="J228" s="88"/>
      <c r="K228" s="30"/>
      <c r="L228" s="19" t="s">
        <v>58</v>
      </c>
    </row>
    <row r="229" spans="1:12" s="68" customFormat="1" ht="15" x14ac:dyDescent="0.25">
      <c r="A229" s="46">
        <v>221</v>
      </c>
      <c r="B229" s="44">
        <v>135281</v>
      </c>
      <c r="C229" s="45">
        <v>46022</v>
      </c>
      <c r="D229" s="71"/>
      <c r="E229" s="70" t="s">
        <v>343</v>
      </c>
      <c r="F229" s="69">
        <v>6.5</v>
      </c>
      <c r="G229" s="88" t="s">
        <v>344</v>
      </c>
      <c r="H229" s="94"/>
      <c r="I229" s="94" t="s">
        <v>54</v>
      </c>
      <c r="J229" s="88"/>
      <c r="K229" s="30"/>
      <c r="L229" s="19" t="s">
        <v>58</v>
      </c>
    </row>
    <row r="230" spans="1:12" s="68" customFormat="1" ht="15" x14ac:dyDescent="0.25">
      <c r="A230" s="46">
        <v>222</v>
      </c>
      <c r="B230" s="44">
        <v>136502</v>
      </c>
      <c r="C230" s="45">
        <v>46027</v>
      </c>
      <c r="D230" s="71"/>
      <c r="E230" s="70" t="s">
        <v>333</v>
      </c>
      <c r="F230" s="69">
        <v>9</v>
      </c>
      <c r="G230" s="88" t="s">
        <v>345</v>
      </c>
      <c r="H230" s="94"/>
      <c r="I230" s="94" t="s">
        <v>54</v>
      </c>
      <c r="J230" s="88"/>
      <c r="K230" s="30"/>
      <c r="L230" s="19" t="s">
        <v>58</v>
      </c>
    </row>
    <row r="231" spans="1:12" s="68" customFormat="1" ht="15" x14ac:dyDescent="0.25">
      <c r="A231" s="46">
        <v>223</v>
      </c>
      <c r="B231" s="44">
        <v>136503</v>
      </c>
      <c r="C231" s="45">
        <v>46027</v>
      </c>
      <c r="D231" s="71" t="s">
        <v>244</v>
      </c>
      <c r="E231" s="70"/>
      <c r="F231" s="69">
        <v>10</v>
      </c>
      <c r="G231" s="88" t="s">
        <v>318</v>
      </c>
      <c r="H231" s="94" t="s">
        <v>246</v>
      </c>
      <c r="I231" s="94" t="s">
        <v>55</v>
      </c>
      <c r="J231" s="88"/>
      <c r="K231" s="30"/>
      <c r="L231" s="19" t="s">
        <v>58</v>
      </c>
    </row>
    <row r="232" spans="1:12" s="68" customFormat="1" ht="15" x14ac:dyDescent="0.25">
      <c r="A232" s="46">
        <v>224</v>
      </c>
      <c r="B232" s="44">
        <v>136504</v>
      </c>
      <c r="C232" s="45">
        <v>46027</v>
      </c>
      <c r="D232" s="71"/>
      <c r="E232" s="70" t="s">
        <v>249</v>
      </c>
      <c r="F232" s="69">
        <v>9</v>
      </c>
      <c r="G232" s="88" t="s">
        <v>346</v>
      </c>
      <c r="H232" s="94"/>
      <c r="I232" s="94" t="s">
        <v>54</v>
      </c>
      <c r="J232" s="88"/>
      <c r="K232" s="30"/>
      <c r="L232" s="19" t="s">
        <v>58</v>
      </c>
    </row>
    <row r="233" spans="1:12" s="68" customFormat="1" ht="15" x14ac:dyDescent="0.25">
      <c r="A233" s="46">
        <v>225</v>
      </c>
      <c r="B233" s="44">
        <v>136505</v>
      </c>
      <c r="C233" s="45">
        <v>46027</v>
      </c>
      <c r="D233" s="71"/>
      <c r="E233" s="70" t="s">
        <v>251</v>
      </c>
      <c r="F233" s="69">
        <v>9</v>
      </c>
      <c r="G233" s="88" t="s">
        <v>347</v>
      </c>
      <c r="H233" s="94"/>
      <c r="I233" s="94" t="s">
        <v>54</v>
      </c>
      <c r="J233" s="88"/>
      <c r="K233" s="30"/>
      <c r="L233" s="19" t="s">
        <v>58</v>
      </c>
    </row>
    <row r="234" spans="1:12" s="68" customFormat="1" ht="15" x14ac:dyDescent="0.25">
      <c r="A234" s="46">
        <v>226</v>
      </c>
      <c r="B234" s="44">
        <v>136506</v>
      </c>
      <c r="C234" s="45">
        <v>46028</v>
      </c>
      <c r="D234" s="71"/>
      <c r="E234" s="70" t="s">
        <v>257</v>
      </c>
      <c r="F234" s="69">
        <v>7.5</v>
      </c>
      <c r="G234" s="88" t="s">
        <v>348</v>
      </c>
      <c r="H234" s="94"/>
      <c r="I234" s="94" t="s">
        <v>54</v>
      </c>
      <c r="J234" s="88"/>
      <c r="K234" s="30"/>
      <c r="L234" s="19" t="s">
        <v>58</v>
      </c>
    </row>
    <row r="235" spans="1:12" s="68" customFormat="1" ht="15" x14ac:dyDescent="0.25">
      <c r="A235" s="46">
        <v>227</v>
      </c>
      <c r="B235" s="44">
        <v>136507</v>
      </c>
      <c r="C235" s="45">
        <v>46028</v>
      </c>
      <c r="D235" s="71" t="s">
        <v>244</v>
      </c>
      <c r="E235" s="70"/>
      <c r="F235" s="69">
        <v>11</v>
      </c>
      <c r="G235" s="88" t="s">
        <v>281</v>
      </c>
      <c r="H235" s="94" t="s">
        <v>286</v>
      </c>
      <c r="I235" s="94" t="s">
        <v>55</v>
      </c>
      <c r="J235" s="88"/>
      <c r="K235" s="30"/>
      <c r="L235" s="19" t="s">
        <v>58</v>
      </c>
    </row>
    <row r="236" spans="1:12" s="68" customFormat="1" ht="15" x14ac:dyDescent="0.25">
      <c r="A236" s="46">
        <v>228</v>
      </c>
      <c r="B236" s="44">
        <v>136508</v>
      </c>
      <c r="C236" s="45">
        <v>46028</v>
      </c>
      <c r="D236" s="71"/>
      <c r="E236" s="70" t="s">
        <v>249</v>
      </c>
      <c r="F236" s="69">
        <v>9</v>
      </c>
      <c r="G236" s="88" t="s">
        <v>349</v>
      </c>
      <c r="H236" s="94"/>
      <c r="I236" s="94" t="s">
        <v>54</v>
      </c>
      <c r="J236" s="88"/>
      <c r="K236" s="30"/>
      <c r="L236" s="19" t="s">
        <v>58</v>
      </c>
    </row>
    <row r="237" spans="1:12" s="68" customFormat="1" ht="15" x14ac:dyDescent="0.25">
      <c r="A237" s="46">
        <v>229</v>
      </c>
      <c r="B237" s="44">
        <v>136509</v>
      </c>
      <c r="C237" s="45">
        <v>46028</v>
      </c>
      <c r="D237" s="71"/>
      <c r="E237" s="70" t="s">
        <v>251</v>
      </c>
      <c r="F237" s="69">
        <v>9</v>
      </c>
      <c r="G237" s="88" t="s">
        <v>347</v>
      </c>
      <c r="H237" s="94"/>
      <c r="I237" s="94" t="s">
        <v>54</v>
      </c>
      <c r="J237" s="88"/>
      <c r="K237" s="30"/>
      <c r="L237" s="19" t="s">
        <v>58</v>
      </c>
    </row>
    <row r="238" spans="1:12" s="68" customFormat="1" ht="15" x14ac:dyDescent="0.25">
      <c r="A238" s="46">
        <v>230</v>
      </c>
      <c r="B238" s="44">
        <v>136510</v>
      </c>
      <c r="C238" s="45">
        <v>46029</v>
      </c>
      <c r="D238" s="71"/>
      <c r="E238" s="70" t="s">
        <v>257</v>
      </c>
      <c r="F238" s="69">
        <v>8.8000000000000007</v>
      </c>
      <c r="G238" s="88" t="s">
        <v>339</v>
      </c>
      <c r="H238" s="94"/>
      <c r="I238" s="94" t="s">
        <v>54</v>
      </c>
      <c r="J238" s="88"/>
      <c r="K238" s="30"/>
      <c r="L238" s="19" t="s">
        <v>58</v>
      </c>
    </row>
    <row r="239" spans="1:12" s="68" customFormat="1" ht="15" x14ac:dyDescent="0.25">
      <c r="A239" s="46">
        <v>231</v>
      </c>
      <c r="B239" s="44">
        <v>136513</v>
      </c>
      <c r="C239" s="45">
        <v>46029</v>
      </c>
      <c r="D239" s="71" t="s">
        <v>244</v>
      </c>
      <c r="E239" s="70"/>
      <c r="F239" s="69">
        <v>10.5</v>
      </c>
      <c r="G239" s="88" t="s">
        <v>350</v>
      </c>
      <c r="H239" s="94" t="s">
        <v>286</v>
      </c>
      <c r="I239" s="94" t="s">
        <v>55</v>
      </c>
      <c r="J239" s="88"/>
      <c r="K239" s="30"/>
      <c r="L239" s="19" t="s">
        <v>58</v>
      </c>
    </row>
    <row r="240" spans="1:12" s="68" customFormat="1" ht="15" x14ac:dyDescent="0.25">
      <c r="A240" s="46">
        <v>232</v>
      </c>
      <c r="B240" s="44">
        <v>136514</v>
      </c>
      <c r="C240" s="45">
        <v>46029</v>
      </c>
      <c r="D240" s="71"/>
      <c r="E240" s="70" t="s">
        <v>249</v>
      </c>
      <c r="F240" s="69">
        <v>11</v>
      </c>
      <c r="G240" s="88" t="s">
        <v>349</v>
      </c>
      <c r="H240" s="94"/>
      <c r="I240" s="94" t="s">
        <v>54</v>
      </c>
      <c r="J240" s="88"/>
      <c r="K240" s="30"/>
      <c r="L240" s="19" t="s">
        <v>58</v>
      </c>
    </row>
    <row r="241" spans="1:12" s="68" customFormat="1" ht="15" x14ac:dyDescent="0.25">
      <c r="A241" s="46">
        <v>233</v>
      </c>
      <c r="B241" s="44">
        <v>136515</v>
      </c>
      <c r="C241" s="45">
        <v>46029</v>
      </c>
      <c r="D241" s="71"/>
      <c r="E241" s="70" t="s">
        <v>251</v>
      </c>
      <c r="F241" s="69">
        <v>9</v>
      </c>
      <c r="G241" s="88" t="s">
        <v>347</v>
      </c>
      <c r="H241" s="94"/>
      <c r="I241" s="94" t="s">
        <v>54</v>
      </c>
      <c r="J241" s="88"/>
      <c r="K241" s="30"/>
      <c r="L241" s="19" t="s">
        <v>58</v>
      </c>
    </row>
    <row r="242" spans="1:12" s="68" customFormat="1" ht="15" x14ac:dyDescent="0.25">
      <c r="A242" s="46">
        <v>234</v>
      </c>
      <c r="B242" s="44">
        <v>136517</v>
      </c>
      <c r="C242" s="45">
        <v>46030</v>
      </c>
      <c r="D242" s="71" t="s">
        <v>312</v>
      </c>
      <c r="E242" s="70"/>
      <c r="F242" s="69">
        <v>10</v>
      </c>
      <c r="G242" s="88" t="s">
        <v>351</v>
      </c>
      <c r="H242" s="94" t="s">
        <v>352</v>
      </c>
      <c r="I242" s="94" t="s">
        <v>55</v>
      </c>
      <c r="J242" s="88"/>
      <c r="K242" s="30"/>
      <c r="L242" s="19" t="s">
        <v>58</v>
      </c>
    </row>
    <row r="243" spans="1:12" s="68" customFormat="1" ht="15" x14ac:dyDescent="0.25">
      <c r="A243" s="46">
        <v>235</v>
      </c>
      <c r="B243" s="44">
        <v>136518</v>
      </c>
      <c r="C243" s="45">
        <v>46030</v>
      </c>
      <c r="D243" s="71"/>
      <c r="E243" s="70" t="s">
        <v>282</v>
      </c>
      <c r="F243" s="69">
        <v>9</v>
      </c>
      <c r="G243" s="88" t="s">
        <v>353</v>
      </c>
      <c r="H243" s="94"/>
      <c r="I243" s="94" t="s">
        <v>54</v>
      </c>
      <c r="J243" s="88"/>
      <c r="K243" s="30"/>
      <c r="L243" s="19" t="s">
        <v>58</v>
      </c>
    </row>
    <row r="244" spans="1:12" s="68" customFormat="1" ht="15" x14ac:dyDescent="0.25">
      <c r="A244" s="46">
        <v>236</v>
      </c>
      <c r="B244" s="44">
        <v>136519</v>
      </c>
      <c r="C244" s="45">
        <v>46030</v>
      </c>
      <c r="D244" s="71" t="s">
        <v>244</v>
      </c>
      <c r="E244" s="70"/>
      <c r="F244" s="69">
        <v>10</v>
      </c>
      <c r="G244" s="88" t="s">
        <v>354</v>
      </c>
      <c r="H244" s="94" t="s">
        <v>260</v>
      </c>
      <c r="I244" s="94" t="s">
        <v>55</v>
      </c>
      <c r="J244" s="88"/>
      <c r="K244" s="30"/>
      <c r="L244" s="19" t="s">
        <v>58</v>
      </c>
    </row>
    <row r="245" spans="1:12" s="68" customFormat="1" ht="15" x14ac:dyDescent="0.25">
      <c r="A245" s="46">
        <v>237</v>
      </c>
      <c r="B245" s="44">
        <v>136520</v>
      </c>
      <c r="C245" s="45">
        <v>46030</v>
      </c>
      <c r="D245" s="71"/>
      <c r="E245" s="70" t="s">
        <v>249</v>
      </c>
      <c r="F245" s="69">
        <v>10.9</v>
      </c>
      <c r="G245" s="88" t="s">
        <v>349</v>
      </c>
      <c r="H245" s="94"/>
      <c r="I245" s="94" t="s">
        <v>54</v>
      </c>
      <c r="J245" s="88"/>
      <c r="K245" s="30"/>
      <c r="L245" s="19" t="s">
        <v>58</v>
      </c>
    </row>
    <row r="246" spans="1:12" s="68" customFormat="1" ht="15" x14ac:dyDescent="0.25">
      <c r="A246" s="46">
        <v>238</v>
      </c>
      <c r="B246" s="44">
        <v>136521</v>
      </c>
      <c r="C246" s="45">
        <v>46030</v>
      </c>
      <c r="D246" s="71"/>
      <c r="E246" s="70" t="s">
        <v>251</v>
      </c>
      <c r="F246" s="69">
        <v>11</v>
      </c>
      <c r="G246" s="88" t="s">
        <v>347</v>
      </c>
      <c r="H246" s="94"/>
      <c r="I246" s="94" t="s">
        <v>54</v>
      </c>
      <c r="J246" s="88"/>
      <c r="K246" s="30"/>
      <c r="L246" s="19" t="s">
        <v>58</v>
      </c>
    </row>
    <row r="247" spans="1:12" s="68" customFormat="1" ht="15" x14ac:dyDescent="0.25">
      <c r="A247" s="46">
        <v>239</v>
      </c>
      <c r="B247" s="44">
        <v>136524</v>
      </c>
      <c r="C247" s="45">
        <v>46031</v>
      </c>
      <c r="D247" s="71"/>
      <c r="E247" s="70" t="s">
        <v>312</v>
      </c>
      <c r="F247" s="69">
        <v>6.5</v>
      </c>
      <c r="G247" s="88" t="s">
        <v>355</v>
      </c>
      <c r="H247" s="94"/>
      <c r="I247" s="94" t="s">
        <v>54</v>
      </c>
      <c r="J247" s="88"/>
      <c r="K247" s="30"/>
      <c r="L247" s="19" t="s">
        <v>58</v>
      </c>
    </row>
    <row r="248" spans="1:12" s="68" customFormat="1" ht="15" x14ac:dyDescent="0.25">
      <c r="A248" s="46">
        <v>240</v>
      </c>
      <c r="B248" s="44">
        <v>136526</v>
      </c>
      <c r="C248" s="45">
        <v>46031</v>
      </c>
      <c r="D248" s="71" t="s">
        <v>244</v>
      </c>
      <c r="E248" s="70"/>
      <c r="F248" s="69">
        <v>10</v>
      </c>
      <c r="G248" s="88" t="s">
        <v>354</v>
      </c>
      <c r="H248" s="94" t="s">
        <v>356</v>
      </c>
      <c r="I248" s="94" t="s">
        <v>55</v>
      </c>
      <c r="J248" s="88"/>
      <c r="K248" s="30"/>
      <c r="L248" s="19" t="s">
        <v>58</v>
      </c>
    </row>
    <row r="249" spans="1:12" s="68" customFormat="1" ht="15" x14ac:dyDescent="0.25">
      <c r="A249" s="46">
        <v>241</v>
      </c>
      <c r="B249" s="44">
        <v>136527</v>
      </c>
      <c r="C249" s="45">
        <v>46031</v>
      </c>
      <c r="D249" s="71"/>
      <c r="E249" s="70" t="s">
        <v>244</v>
      </c>
      <c r="F249" s="69">
        <v>8</v>
      </c>
      <c r="G249" s="88" t="s">
        <v>349</v>
      </c>
      <c r="H249" s="94"/>
      <c r="I249" s="94" t="s">
        <v>54</v>
      </c>
      <c r="J249" s="88"/>
      <c r="K249" s="30"/>
      <c r="L249" s="19" t="s">
        <v>58</v>
      </c>
    </row>
    <row r="250" spans="1:12" s="68" customFormat="1" ht="15" x14ac:dyDescent="0.25">
      <c r="A250" s="46">
        <v>242</v>
      </c>
      <c r="B250" s="44">
        <v>136528</v>
      </c>
      <c r="C250" s="45">
        <v>46032</v>
      </c>
      <c r="D250" s="71"/>
      <c r="E250" s="70" t="s">
        <v>301</v>
      </c>
      <c r="F250" s="69">
        <v>11.9</v>
      </c>
      <c r="G250" s="88" t="s">
        <v>357</v>
      </c>
      <c r="H250" s="94"/>
      <c r="I250" s="94" t="s">
        <v>54</v>
      </c>
      <c r="J250" s="88"/>
      <c r="K250" s="30"/>
      <c r="L250" s="19" t="s">
        <v>58</v>
      </c>
    </row>
    <row r="251" spans="1:12" s="68" customFormat="1" ht="15" x14ac:dyDescent="0.25">
      <c r="A251" s="46">
        <v>243</v>
      </c>
      <c r="B251" s="44">
        <v>136531</v>
      </c>
      <c r="C251" s="45">
        <v>46034</v>
      </c>
      <c r="D251" s="71"/>
      <c r="E251" s="70" t="s">
        <v>310</v>
      </c>
      <c r="F251" s="69">
        <v>9</v>
      </c>
      <c r="G251" s="88" t="s">
        <v>358</v>
      </c>
      <c r="H251" s="94"/>
      <c r="I251" s="94" t="s">
        <v>54</v>
      </c>
      <c r="J251" s="88"/>
      <c r="K251" s="30"/>
      <c r="L251" s="19" t="s">
        <v>58</v>
      </c>
    </row>
    <row r="252" spans="1:12" s="68" customFormat="1" ht="15" x14ac:dyDescent="0.25">
      <c r="A252" s="46">
        <v>244</v>
      </c>
      <c r="B252" s="44">
        <v>136532</v>
      </c>
      <c r="C252" s="45">
        <v>46034</v>
      </c>
      <c r="D252" s="71" t="s">
        <v>244</v>
      </c>
      <c r="E252" s="70"/>
      <c r="F252" s="69">
        <v>8.5</v>
      </c>
      <c r="G252" s="88" t="s">
        <v>359</v>
      </c>
      <c r="H252" s="94" t="s">
        <v>360</v>
      </c>
      <c r="I252" s="94" t="s">
        <v>55</v>
      </c>
      <c r="J252" s="88"/>
      <c r="K252" s="30"/>
      <c r="L252" s="19" t="s">
        <v>58</v>
      </c>
    </row>
    <row r="253" spans="1:12" s="68" customFormat="1" ht="15" x14ac:dyDescent="0.25">
      <c r="A253" s="46">
        <v>245</v>
      </c>
      <c r="B253" s="44">
        <v>136533</v>
      </c>
      <c r="C253" s="45">
        <v>46034</v>
      </c>
      <c r="D253" s="71"/>
      <c r="E253" s="70" t="s">
        <v>249</v>
      </c>
      <c r="F253" s="69">
        <v>9</v>
      </c>
      <c r="G253" s="88" t="s">
        <v>361</v>
      </c>
      <c r="H253" s="94"/>
      <c r="I253" s="94" t="s">
        <v>54</v>
      </c>
      <c r="J253" s="88"/>
      <c r="K253" s="30"/>
      <c r="L253" s="19" t="s">
        <v>58</v>
      </c>
    </row>
    <row r="254" spans="1:12" s="68" customFormat="1" ht="15" x14ac:dyDescent="0.25">
      <c r="A254" s="46">
        <v>246</v>
      </c>
      <c r="B254" s="44">
        <v>136534</v>
      </c>
      <c r="C254" s="45">
        <v>46034</v>
      </c>
      <c r="D254" s="71"/>
      <c r="E254" s="70" t="s">
        <v>251</v>
      </c>
      <c r="F254" s="69">
        <v>9</v>
      </c>
      <c r="G254" s="88" t="s">
        <v>362</v>
      </c>
      <c r="H254" s="94"/>
      <c r="I254" s="94" t="s">
        <v>54</v>
      </c>
      <c r="J254" s="88"/>
      <c r="K254" s="30"/>
      <c r="L254" s="19" t="s">
        <v>58</v>
      </c>
    </row>
    <row r="255" spans="1:12" s="68" customFormat="1" ht="15" x14ac:dyDescent="0.25">
      <c r="A255" s="46">
        <v>247</v>
      </c>
      <c r="B255" s="44">
        <v>136535</v>
      </c>
      <c r="C255" s="45">
        <v>46035</v>
      </c>
      <c r="D255" s="71"/>
      <c r="E255" s="70" t="s">
        <v>257</v>
      </c>
      <c r="F255" s="69">
        <v>7.7</v>
      </c>
      <c r="G255" s="88" t="s">
        <v>258</v>
      </c>
      <c r="H255" s="94"/>
      <c r="I255" s="94" t="s">
        <v>54</v>
      </c>
      <c r="J255" s="88"/>
      <c r="K255" s="30"/>
      <c r="L255" s="19" t="s">
        <v>58</v>
      </c>
    </row>
    <row r="256" spans="1:12" s="68" customFormat="1" ht="15" x14ac:dyDescent="0.25">
      <c r="A256" s="46">
        <v>248</v>
      </c>
      <c r="B256" s="44">
        <v>136536</v>
      </c>
      <c r="C256" s="45">
        <v>46035</v>
      </c>
      <c r="D256" s="71" t="s">
        <v>244</v>
      </c>
      <c r="E256" s="70"/>
      <c r="F256" s="69">
        <v>8.5</v>
      </c>
      <c r="G256" s="88" t="s">
        <v>359</v>
      </c>
      <c r="H256" s="94" t="s">
        <v>260</v>
      </c>
      <c r="I256" s="94" t="s">
        <v>55</v>
      </c>
      <c r="J256" s="88"/>
      <c r="K256" s="30"/>
      <c r="L256" s="19" t="s">
        <v>58</v>
      </c>
    </row>
    <row r="257" spans="1:12" s="68" customFormat="1" ht="15" x14ac:dyDescent="0.25">
      <c r="A257" s="46">
        <v>249</v>
      </c>
      <c r="B257" s="44">
        <v>136537</v>
      </c>
      <c r="C257" s="45">
        <v>46035</v>
      </c>
      <c r="D257" s="71"/>
      <c r="E257" s="70" t="s">
        <v>249</v>
      </c>
      <c r="F257" s="69">
        <v>9</v>
      </c>
      <c r="G257" s="88" t="s">
        <v>361</v>
      </c>
      <c r="H257" s="94"/>
      <c r="I257" s="94" t="s">
        <v>54</v>
      </c>
      <c r="J257" s="88"/>
      <c r="K257" s="30"/>
      <c r="L257" s="19" t="s">
        <v>58</v>
      </c>
    </row>
    <row r="258" spans="1:12" s="68" customFormat="1" ht="15" x14ac:dyDescent="0.25">
      <c r="A258" s="46">
        <v>250</v>
      </c>
      <c r="B258" s="44">
        <v>136538</v>
      </c>
      <c r="C258" s="45">
        <v>46035</v>
      </c>
      <c r="D258" s="71"/>
      <c r="E258" s="70" t="s">
        <v>251</v>
      </c>
      <c r="F258" s="69">
        <v>10</v>
      </c>
      <c r="G258" s="88" t="s">
        <v>363</v>
      </c>
      <c r="H258" s="94"/>
      <c r="I258" s="94" t="s">
        <v>54</v>
      </c>
      <c r="J258" s="88"/>
      <c r="K258" s="30"/>
      <c r="L258" s="19" t="s">
        <v>58</v>
      </c>
    </row>
    <row r="259" spans="1:12" s="68" customFormat="1" ht="15" x14ac:dyDescent="0.25">
      <c r="A259" s="46">
        <v>251</v>
      </c>
      <c r="B259" s="44">
        <v>136539</v>
      </c>
      <c r="C259" s="45">
        <v>46036</v>
      </c>
      <c r="D259" s="71"/>
      <c r="E259" s="70" t="s">
        <v>253</v>
      </c>
      <c r="F259" s="69">
        <v>12</v>
      </c>
      <c r="G259" s="88" t="s">
        <v>364</v>
      </c>
      <c r="H259" s="94"/>
      <c r="I259" s="94" t="s">
        <v>54</v>
      </c>
      <c r="J259" s="88"/>
      <c r="K259" s="30"/>
      <c r="L259" s="19" t="s">
        <v>58</v>
      </c>
    </row>
    <row r="260" spans="1:12" s="68" customFormat="1" ht="15" x14ac:dyDescent="0.25">
      <c r="A260" s="46">
        <v>252</v>
      </c>
      <c r="B260" s="44">
        <v>136540</v>
      </c>
      <c r="C260" s="45">
        <v>46036</v>
      </c>
      <c r="D260" s="71"/>
      <c r="E260" s="70" t="s">
        <v>271</v>
      </c>
      <c r="F260" s="69">
        <v>9.5</v>
      </c>
      <c r="G260" s="88" t="s">
        <v>365</v>
      </c>
      <c r="H260" s="94"/>
      <c r="I260" s="94" t="s">
        <v>54</v>
      </c>
      <c r="J260" s="88"/>
      <c r="K260" s="30"/>
      <c r="L260" s="19" t="s">
        <v>58</v>
      </c>
    </row>
    <row r="261" spans="1:12" s="68" customFormat="1" ht="15" x14ac:dyDescent="0.25">
      <c r="A261" s="46">
        <v>253</v>
      </c>
      <c r="B261" s="44">
        <v>136541</v>
      </c>
      <c r="C261" s="45">
        <v>46036</v>
      </c>
      <c r="D261" s="71" t="s">
        <v>244</v>
      </c>
      <c r="E261" s="70"/>
      <c r="F261" s="69">
        <v>8.5</v>
      </c>
      <c r="G261" s="88" t="s">
        <v>359</v>
      </c>
      <c r="H261" s="94" t="s">
        <v>260</v>
      </c>
      <c r="I261" s="94" t="s">
        <v>55</v>
      </c>
      <c r="J261" s="88"/>
      <c r="K261" s="30"/>
      <c r="L261" s="19" t="s">
        <v>58</v>
      </c>
    </row>
    <row r="262" spans="1:12" s="68" customFormat="1" ht="15" x14ac:dyDescent="0.25">
      <c r="A262" s="46">
        <v>254</v>
      </c>
      <c r="B262" s="44">
        <v>136542</v>
      </c>
      <c r="C262" s="45">
        <v>46036</v>
      </c>
      <c r="D262" s="71"/>
      <c r="E262" s="70" t="s">
        <v>249</v>
      </c>
      <c r="F262" s="69">
        <v>9</v>
      </c>
      <c r="G262" s="88" t="s">
        <v>361</v>
      </c>
      <c r="H262" s="94"/>
      <c r="I262" s="94" t="s">
        <v>54</v>
      </c>
      <c r="J262" s="88"/>
      <c r="K262" s="30"/>
      <c r="L262" s="19" t="s">
        <v>58</v>
      </c>
    </row>
    <row r="263" spans="1:12" s="68" customFormat="1" ht="15" x14ac:dyDescent="0.25">
      <c r="A263" s="46">
        <v>255</v>
      </c>
      <c r="B263" s="44">
        <v>136543</v>
      </c>
      <c r="C263" s="45">
        <v>46036</v>
      </c>
      <c r="D263" s="71"/>
      <c r="E263" s="70" t="s">
        <v>251</v>
      </c>
      <c r="F263" s="69">
        <v>9</v>
      </c>
      <c r="G263" s="88" t="s">
        <v>362</v>
      </c>
      <c r="H263" s="94"/>
      <c r="I263" s="94" t="s">
        <v>54</v>
      </c>
      <c r="J263" s="88"/>
      <c r="K263" s="30"/>
      <c r="L263" s="19" t="s">
        <v>58</v>
      </c>
    </row>
    <row r="264" spans="1:12" s="68" customFormat="1" ht="15" x14ac:dyDescent="0.25">
      <c r="A264" s="46">
        <v>256</v>
      </c>
      <c r="B264" s="44">
        <v>136544</v>
      </c>
      <c r="C264" s="45">
        <v>46037</v>
      </c>
      <c r="D264" s="71" t="s">
        <v>333</v>
      </c>
      <c r="E264" s="70"/>
      <c r="F264" s="69">
        <v>9</v>
      </c>
      <c r="G264" s="88" t="s">
        <v>362</v>
      </c>
      <c r="H264" s="94" t="s">
        <v>366</v>
      </c>
      <c r="I264" s="94" t="s">
        <v>55</v>
      </c>
      <c r="J264" s="88"/>
      <c r="K264" s="30"/>
      <c r="L264" s="19" t="s">
        <v>58</v>
      </c>
    </row>
    <row r="265" spans="1:12" s="68" customFormat="1" ht="15" x14ac:dyDescent="0.25">
      <c r="A265" s="46">
        <v>257</v>
      </c>
      <c r="B265" s="44">
        <v>136546</v>
      </c>
      <c r="C265" s="45">
        <v>46037</v>
      </c>
      <c r="D265" s="71" t="s">
        <v>244</v>
      </c>
      <c r="E265" s="70"/>
      <c r="F265" s="69">
        <v>8.5</v>
      </c>
      <c r="G265" s="88" t="s">
        <v>359</v>
      </c>
      <c r="H265" s="94" t="s">
        <v>367</v>
      </c>
      <c r="I265" s="94" t="s">
        <v>55</v>
      </c>
      <c r="J265" s="88"/>
      <c r="K265" s="30"/>
      <c r="L265" s="19" t="s">
        <v>58</v>
      </c>
    </row>
    <row r="266" spans="1:12" s="68" customFormat="1" thickBot="1" x14ac:dyDescent="0.3">
      <c r="A266" s="46">
        <v>258</v>
      </c>
      <c r="B266" s="154">
        <v>136547</v>
      </c>
      <c r="C266" s="108">
        <v>46037</v>
      </c>
      <c r="D266" s="73"/>
      <c r="E266" s="74" t="s">
        <v>249</v>
      </c>
      <c r="F266" s="75">
        <v>9</v>
      </c>
      <c r="G266" s="106" t="s">
        <v>361</v>
      </c>
      <c r="H266" s="95"/>
      <c r="I266" s="95" t="s">
        <v>54</v>
      </c>
      <c r="J266" s="106"/>
      <c r="K266" s="65"/>
      <c r="L266" s="78" t="s">
        <v>58</v>
      </c>
    </row>
    <row r="267" spans="1:12" s="68" customFormat="1" ht="15" x14ac:dyDescent="0.25">
      <c r="A267" s="46">
        <v>259</v>
      </c>
      <c r="B267" s="89">
        <v>133501</v>
      </c>
      <c r="C267" s="45">
        <v>46020</v>
      </c>
      <c r="D267" s="71">
        <v>0.33333333333333331</v>
      </c>
      <c r="E267" s="70"/>
      <c r="F267" s="102">
        <v>6</v>
      </c>
      <c r="G267" s="88" t="s">
        <v>120</v>
      </c>
      <c r="H267" s="94">
        <v>0.32361111111111113</v>
      </c>
      <c r="I267" s="94" t="s">
        <v>55</v>
      </c>
      <c r="J267" s="88"/>
      <c r="K267" s="30"/>
      <c r="L267" s="19" t="s">
        <v>44</v>
      </c>
    </row>
    <row r="268" spans="1:12" s="68" customFormat="1" ht="15" x14ac:dyDescent="0.25">
      <c r="A268" s="46">
        <v>260</v>
      </c>
      <c r="B268" s="89">
        <v>133502</v>
      </c>
      <c r="C268" s="45">
        <v>46020</v>
      </c>
      <c r="D268" s="71">
        <v>0.58333333333333337</v>
      </c>
      <c r="E268" s="70"/>
      <c r="F268" s="102">
        <v>12.7</v>
      </c>
      <c r="G268" s="88" t="s">
        <v>492</v>
      </c>
      <c r="H268" s="94">
        <v>0.57708333333333328</v>
      </c>
      <c r="I268" s="94" t="s">
        <v>55</v>
      </c>
      <c r="J268" s="88"/>
      <c r="K268" s="30"/>
      <c r="L268" s="19" t="s">
        <v>44</v>
      </c>
    </row>
    <row r="269" spans="1:12" s="68" customFormat="1" ht="15" x14ac:dyDescent="0.25">
      <c r="A269" s="46">
        <v>261</v>
      </c>
      <c r="B269" s="89">
        <v>133503</v>
      </c>
      <c r="C269" s="45">
        <v>46020</v>
      </c>
      <c r="D269" s="71"/>
      <c r="E269" s="70">
        <v>0.58333333333333337</v>
      </c>
      <c r="F269" s="102">
        <v>13.5</v>
      </c>
      <c r="G269" s="88" t="s">
        <v>493</v>
      </c>
      <c r="H269" s="94"/>
      <c r="I269" s="94" t="s">
        <v>54</v>
      </c>
      <c r="J269" s="88"/>
      <c r="K269" s="30"/>
      <c r="L269" s="19" t="s">
        <v>44</v>
      </c>
    </row>
    <row r="270" spans="1:12" s="68" customFormat="1" ht="15" x14ac:dyDescent="0.25">
      <c r="A270" s="46">
        <v>262</v>
      </c>
      <c r="B270" s="89">
        <v>133504</v>
      </c>
      <c r="C270" s="45">
        <v>46020</v>
      </c>
      <c r="D270" s="71"/>
      <c r="E270" s="70">
        <v>0.70833333333333337</v>
      </c>
      <c r="F270" s="102">
        <v>9.3000000000000007</v>
      </c>
      <c r="G270" s="88" t="s">
        <v>204</v>
      </c>
      <c r="H270" s="94"/>
      <c r="I270" s="94" t="s">
        <v>54</v>
      </c>
      <c r="J270" s="88"/>
      <c r="K270" s="30"/>
      <c r="L270" s="19" t="s">
        <v>44</v>
      </c>
    </row>
    <row r="271" spans="1:12" s="68" customFormat="1" ht="15" x14ac:dyDescent="0.25">
      <c r="A271" s="46">
        <v>263</v>
      </c>
      <c r="B271" s="89">
        <v>133505</v>
      </c>
      <c r="C271" s="45">
        <v>46021</v>
      </c>
      <c r="D271" s="71">
        <v>0.33333333333333331</v>
      </c>
      <c r="E271" s="70"/>
      <c r="F271" s="102">
        <v>6</v>
      </c>
      <c r="G271" s="88" t="s">
        <v>120</v>
      </c>
      <c r="H271" s="94">
        <v>0.32361111111111113</v>
      </c>
      <c r="I271" s="94" t="s">
        <v>55</v>
      </c>
      <c r="J271" s="88"/>
      <c r="K271" s="30"/>
      <c r="L271" s="19" t="s">
        <v>44</v>
      </c>
    </row>
    <row r="272" spans="1:12" s="68" customFormat="1" ht="15" x14ac:dyDescent="0.25">
      <c r="A272" s="46">
        <v>264</v>
      </c>
      <c r="B272" s="89">
        <v>133506</v>
      </c>
      <c r="C272" s="45">
        <v>46021</v>
      </c>
      <c r="D272" s="71">
        <v>0.58333333333333337</v>
      </c>
      <c r="E272" s="70"/>
      <c r="F272" s="102">
        <v>12.5</v>
      </c>
      <c r="G272" s="88" t="s">
        <v>407</v>
      </c>
      <c r="H272" s="94">
        <v>0.57291666666666663</v>
      </c>
      <c r="I272" s="94" t="s">
        <v>55</v>
      </c>
      <c r="J272" s="88"/>
      <c r="K272" s="30"/>
      <c r="L272" s="19" t="s">
        <v>44</v>
      </c>
    </row>
    <row r="273" spans="1:12" s="68" customFormat="1" ht="15" x14ac:dyDescent="0.25">
      <c r="A273" s="46">
        <v>265</v>
      </c>
      <c r="B273" s="89">
        <v>133507</v>
      </c>
      <c r="C273" s="45">
        <v>46021</v>
      </c>
      <c r="D273" s="71"/>
      <c r="E273" s="70">
        <v>0.58333333333333337</v>
      </c>
      <c r="F273" s="102">
        <v>8</v>
      </c>
      <c r="G273" s="88" t="s">
        <v>149</v>
      </c>
      <c r="H273" s="94"/>
      <c r="I273" s="94" t="s">
        <v>54</v>
      </c>
      <c r="J273" s="88"/>
      <c r="K273" s="30"/>
      <c r="L273" s="19" t="s">
        <v>44</v>
      </c>
    </row>
    <row r="274" spans="1:12" s="68" customFormat="1" ht="15" x14ac:dyDescent="0.25">
      <c r="A274" s="46">
        <v>266</v>
      </c>
      <c r="B274" s="89">
        <v>133508</v>
      </c>
      <c r="C274" s="45">
        <v>46021</v>
      </c>
      <c r="D274" s="71">
        <v>0.625</v>
      </c>
      <c r="E274" s="70"/>
      <c r="F274" s="102">
        <v>8.6999999999999993</v>
      </c>
      <c r="G274" s="88" t="s">
        <v>494</v>
      </c>
      <c r="H274" s="94">
        <v>0.61458333333333337</v>
      </c>
      <c r="I274" s="94" t="s">
        <v>55</v>
      </c>
      <c r="J274" s="88"/>
      <c r="K274" s="30"/>
      <c r="L274" s="19" t="s">
        <v>44</v>
      </c>
    </row>
    <row r="275" spans="1:12" s="68" customFormat="1" ht="15" x14ac:dyDescent="0.25">
      <c r="A275" s="46">
        <v>267</v>
      </c>
      <c r="B275" s="89">
        <v>133509</v>
      </c>
      <c r="C275" s="45">
        <v>46021</v>
      </c>
      <c r="D275" s="71"/>
      <c r="E275" s="70">
        <v>0.625</v>
      </c>
      <c r="F275" s="102">
        <v>14.5</v>
      </c>
      <c r="G275" s="88" t="s">
        <v>495</v>
      </c>
      <c r="H275" s="94"/>
      <c r="I275" s="94" t="s">
        <v>54</v>
      </c>
      <c r="J275" s="88"/>
      <c r="K275" s="30"/>
      <c r="L275" s="19" t="s">
        <v>44</v>
      </c>
    </row>
    <row r="276" spans="1:12" s="68" customFormat="1" ht="15" x14ac:dyDescent="0.25">
      <c r="A276" s="46">
        <v>268</v>
      </c>
      <c r="B276" s="89">
        <v>133511</v>
      </c>
      <c r="C276" s="45">
        <v>46022</v>
      </c>
      <c r="D276" s="71"/>
      <c r="E276" s="70">
        <v>0.54166666666666663</v>
      </c>
      <c r="F276" s="102">
        <v>13.5</v>
      </c>
      <c r="G276" s="88" t="s">
        <v>496</v>
      </c>
      <c r="H276" s="94"/>
      <c r="I276" s="94" t="s">
        <v>54</v>
      </c>
      <c r="J276" s="88"/>
      <c r="K276" s="30"/>
      <c r="L276" s="19" t="s">
        <v>44</v>
      </c>
    </row>
    <row r="277" spans="1:12" s="68" customFormat="1" ht="15" x14ac:dyDescent="0.25">
      <c r="A277" s="46">
        <v>269</v>
      </c>
      <c r="B277" s="89">
        <v>133512</v>
      </c>
      <c r="C277" s="45">
        <v>46027</v>
      </c>
      <c r="D277" s="71">
        <v>0.33333333333333331</v>
      </c>
      <c r="E277" s="70"/>
      <c r="F277" s="102">
        <v>6</v>
      </c>
      <c r="G277" s="88" t="s">
        <v>120</v>
      </c>
      <c r="H277" s="94">
        <v>0.28194444444444444</v>
      </c>
      <c r="I277" s="94" t="s">
        <v>55</v>
      </c>
      <c r="J277" s="88"/>
      <c r="K277" s="30"/>
      <c r="L277" s="19" t="s">
        <v>44</v>
      </c>
    </row>
    <row r="278" spans="1:12" s="68" customFormat="1" ht="15" x14ac:dyDescent="0.25">
      <c r="A278" s="46">
        <v>270</v>
      </c>
      <c r="B278" s="89">
        <v>133513</v>
      </c>
      <c r="C278" s="45">
        <v>46027</v>
      </c>
      <c r="D278" s="71">
        <v>0.375</v>
      </c>
      <c r="E278" s="70"/>
      <c r="F278" s="102">
        <v>8.3000000000000007</v>
      </c>
      <c r="G278" s="88" t="s">
        <v>497</v>
      </c>
      <c r="H278" s="94"/>
      <c r="I278" s="94" t="s">
        <v>55</v>
      </c>
      <c r="J278" s="88"/>
      <c r="K278" s="30" t="s">
        <v>498</v>
      </c>
      <c r="L278" s="19" t="s">
        <v>44</v>
      </c>
    </row>
    <row r="279" spans="1:12" s="68" customFormat="1" ht="15" x14ac:dyDescent="0.25">
      <c r="A279" s="46">
        <v>271</v>
      </c>
      <c r="B279" s="89">
        <v>133514</v>
      </c>
      <c r="C279" s="45">
        <v>46027</v>
      </c>
      <c r="D279" s="71">
        <v>0.58333333333333337</v>
      </c>
      <c r="E279" s="70"/>
      <c r="F279" s="102">
        <v>10</v>
      </c>
      <c r="G279" s="88" t="s">
        <v>499</v>
      </c>
      <c r="H279" s="94">
        <v>0.57361111111111118</v>
      </c>
      <c r="I279" s="94" t="s">
        <v>55</v>
      </c>
      <c r="J279" s="88"/>
      <c r="K279" s="30"/>
      <c r="L279" s="19" t="s">
        <v>44</v>
      </c>
    </row>
    <row r="280" spans="1:12" s="68" customFormat="1" ht="15" x14ac:dyDescent="0.25">
      <c r="A280" s="46">
        <v>272</v>
      </c>
      <c r="B280" s="89">
        <v>133515</v>
      </c>
      <c r="C280" s="45">
        <v>46027</v>
      </c>
      <c r="D280" s="71"/>
      <c r="E280" s="70">
        <v>0.58333333333333337</v>
      </c>
      <c r="F280" s="102">
        <v>13.5</v>
      </c>
      <c r="G280" s="88" t="s">
        <v>493</v>
      </c>
      <c r="H280" s="94"/>
      <c r="I280" s="94" t="s">
        <v>54</v>
      </c>
      <c r="J280" s="88"/>
      <c r="K280" s="30"/>
      <c r="L280" s="19" t="s">
        <v>44</v>
      </c>
    </row>
    <row r="281" spans="1:12" s="68" customFormat="1" ht="15" x14ac:dyDescent="0.25">
      <c r="A281" s="46">
        <v>273</v>
      </c>
      <c r="B281" s="89">
        <v>133516</v>
      </c>
      <c r="C281" s="45">
        <v>46027</v>
      </c>
      <c r="D281" s="71"/>
      <c r="E281" s="70">
        <v>0.66666666666666663</v>
      </c>
      <c r="F281" s="102">
        <v>9</v>
      </c>
      <c r="G281" s="88" t="s">
        <v>178</v>
      </c>
      <c r="H281" s="94"/>
      <c r="I281" s="94" t="s">
        <v>54</v>
      </c>
      <c r="J281" s="88"/>
      <c r="K281" s="30"/>
      <c r="L281" s="19" t="s">
        <v>44</v>
      </c>
    </row>
    <row r="282" spans="1:12" s="68" customFormat="1" ht="15" x14ac:dyDescent="0.25">
      <c r="A282" s="46">
        <v>274</v>
      </c>
      <c r="B282" s="89">
        <v>133517</v>
      </c>
      <c r="C282" s="45">
        <v>46027</v>
      </c>
      <c r="D282" s="71"/>
      <c r="E282" s="70">
        <v>0.70833333333333337</v>
      </c>
      <c r="F282" s="102">
        <v>8.9</v>
      </c>
      <c r="G282" s="88" t="s">
        <v>500</v>
      </c>
      <c r="H282" s="94"/>
      <c r="I282" s="94" t="s">
        <v>54</v>
      </c>
      <c r="J282" s="88"/>
      <c r="K282" s="30"/>
      <c r="L282" s="19" t="s">
        <v>44</v>
      </c>
    </row>
    <row r="283" spans="1:12" s="68" customFormat="1" ht="15" x14ac:dyDescent="0.25">
      <c r="A283" s="46">
        <v>275</v>
      </c>
      <c r="B283" s="89">
        <v>133518</v>
      </c>
      <c r="C283" s="45">
        <v>46028</v>
      </c>
      <c r="D283" s="71">
        <v>0.33333333333333331</v>
      </c>
      <c r="E283" s="70"/>
      <c r="F283" s="102">
        <v>10</v>
      </c>
      <c r="G283" s="88" t="s">
        <v>104</v>
      </c>
      <c r="H283" s="94">
        <v>0.32361111111111113</v>
      </c>
      <c r="I283" s="94" t="s">
        <v>55</v>
      </c>
      <c r="J283" s="88"/>
      <c r="K283" s="30"/>
      <c r="L283" s="19" t="s">
        <v>44</v>
      </c>
    </row>
    <row r="284" spans="1:12" s="68" customFormat="1" ht="15" x14ac:dyDescent="0.25">
      <c r="A284" s="46">
        <v>276</v>
      </c>
      <c r="B284" s="89">
        <v>133519</v>
      </c>
      <c r="C284" s="45">
        <v>46030</v>
      </c>
      <c r="D284" s="71"/>
      <c r="E284" s="70">
        <v>0.95833333333333337</v>
      </c>
      <c r="F284" s="102">
        <v>10.3</v>
      </c>
      <c r="G284" s="88" t="s">
        <v>59</v>
      </c>
      <c r="H284" s="94"/>
      <c r="I284" s="94" t="s">
        <v>54</v>
      </c>
      <c r="J284" s="88"/>
      <c r="K284" s="30"/>
      <c r="L284" s="19" t="s">
        <v>44</v>
      </c>
    </row>
    <row r="285" spans="1:12" s="68" customFormat="1" ht="15" x14ac:dyDescent="0.25">
      <c r="A285" s="46">
        <v>277</v>
      </c>
      <c r="B285" s="89">
        <v>133521</v>
      </c>
      <c r="C285" s="45">
        <v>46031</v>
      </c>
      <c r="D285" s="71"/>
      <c r="E285" s="70">
        <v>0.25</v>
      </c>
      <c r="F285" s="102">
        <v>13</v>
      </c>
      <c r="G285" s="88" t="s">
        <v>501</v>
      </c>
      <c r="H285" s="94"/>
      <c r="I285" s="94" t="s">
        <v>54</v>
      </c>
      <c r="J285" s="88"/>
      <c r="K285" s="30"/>
      <c r="L285" s="19" t="s">
        <v>44</v>
      </c>
    </row>
    <row r="286" spans="1:12" s="68" customFormat="1" ht="15" x14ac:dyDescent="0.25">
      <c r="A286" s="46">
        <v>278</v>
      </c>
      <c r="B286" s="89">
        <v>133523</v>
      </c>
      <c r="C286" s="45">
        <v>46031</v>
      </c>
      <c r="D286" s="71">
        <v>0.54166666666666663</v>
      </c>
      <c r="E286" s="70"/>
      <c r="F286" s="102">
        <v>8</v>
      </c>
      <c r="G286" s="88" t="s">
        <v>503</v>
      </c>
      <c r="H286" s="94">
        <v>0.53819444444444442</v>
      </c>
      <c r="I286" s="94" t="s">
        <v>55</v>
      </c>
      <c r="J286" s="88"/>
      <c r="K286" s="147" t="s">
        <v>504</v>
      </c>
      <c r="L286" s="19" t="s">
        <v>44</v>
      </c>
    </row>
    <row r="287" spans="1:12" s="68" customFormat="1" ht="15" x14ac:dyDescent="0.25">
      <c r="A287" s="46">
        <v>279</v>
      </c>
      <c r="B287" s="89">
        <v>133524</v>
      </c>
      <c r="C287" s="45">
        <v>46031</v>
      </c>
      <c r="D287" s="71"/>
      <c r="E287" s="70">
        <v>0.54861111111111105</v>
      </c>
      <c r="F287" s="102">
        <v>6</v>
      </c>
      <c r="G287" s="88" t="s">
        <v>505</v>
      </c>
      <c r="H287" s="94"/>
      <c r="I287" s="94" t="s">
        <v>54</v>
      </c>
      <c r="J287" s="88"/>
      <c r="K287" s="30" t="s">
        <v>506</v>
      </c>
      <c r="L287" s="19" t="s">
        <v>44</v>
      </c>
    </row>
    <row r="288" spans="1:12" s="68" customFormat="1" ht="15" x14ac:dyDescent="0.25">
      <c r="A288" s="46">
        <v>280</v>
      </c>
      <c r="B288" s="89">
        <v>133525</v>
      </c>
      <c r="C288" s="45">
        <v>46031</v>
      </c>
      <c r="D288" s="71"/>
      <c r="E288" s="70">
        <v>0.625</v>
      </c>
      <c r="F288" s="102">
        <v>9.3000000000000007</v>
      </c>
      <c r="G288" s="88" t="s">
        <v>507</v>
      </c>
      <c r="H288" s="94"/>
      <c r="I288" s="94" t="s">
        <v>54</v>
      </c>
      <c r="J288" s="88"/>
      <c r="K288" s="30"/>
      <c r="L288" s="19" t="s">
        <v>44</v>
      </c>
    </row>
    <row r="289" spans="1:12" s="68" customFormat="1" ht="15" x14ac:dyDescent="0.25">
      <c r="A289" s="46">
        <v>281</v>
      </c>
      <c r="B289" s="89">
        <v>133526</v>
      </c>
      <c r="C289" s="45">
        <v>46031</v>
      </c>
      <c r="D289" s="71"/>
      <c r="E289" s="70">
        <v>0.66666666666666663</v>
      </c>
      <c r="F289" s="102">
        <v>10.7</v>
      </c>
      <c r="G289" s="88" t="s">
        <v>508</v>
      </c>
      <c r="H289" s="94"/>
      <c r="I289" s="94" t="s">
        <v>54</v>
      </c>
      <c r="J289" s="88"/>
      <c r="K289" s="30"/>
      <c r="L289" s="19" t="s">
        <v>44</v>
      </c>
    </row>
    <row r="290" spans="1:12" s="68" customFormat="1" ht="15" x14ac:dyDescent="0.25">
      <c r="A290" s="46">
        <v>282</v>
      </c>
      <c r="B290" s="89">
        <v>133527</v>
      </c>
      <c r="C290" s="45">
        <v>46034</v>
      </c>
      <c r="D290" s="71">
        <v>0.33333333333333331</v>
      </c>
      <c r="E290" s="70"/>
      <c r="F290" s="102">
        <v>6.5</v>
      </c>
      <c r="G290" s="88" t="s">
        <v>276</v>
      </c>
      <c r="H290" s="94">
        <v>0.32222222222222224</v>
      </c>
      <c r="I290" s="94" t="s">
        <v>55</v>
      </c>
      <c r="J290" s="88"/>
      <c r="K290" s="30"/>
      <c r="L290" s="19" t="s">
        <v>44</v>
      </c>
    </row>
    <row r="291" spans="1:12" s="68" customFormat="1" ht="15" x14ac:dyDescent="0.25">
      <c r="A291" s="46">
        <v>283</v>
      </c>
      <c r="B291" s="89">
        <v>133528</v>
      </c>
      <c r="C291" s="45">
        <v>46034</v>
      </c>
      <c r="D291" s="71">
        <v>0.58333333333333337</v>
      </c>
      <c r="E291" s="70"/>
      <c r="F291" s="102">
        <v>12.8</v>
      </c>
      <c r="G291" s="88" t="s">
        <v>509</v>
      </c>
      <c r="H291" s="94">
        <v>0.57638888888888895</v>
      </c>
      <c r="I291" s="94" t="s">
        <v>55</v>
      </c>
      <c r="J291" s="88"/>
      <c r="K291" s="30"/>
      <c r="L291" s="19" t="s">
        <v>44</v>
      </c>
    </row>
    <row r="292" spans="1:12" s="68" customFormat="1" ht="15" x14ac:dyDescent="0.25">
      <c r="A292" s="46">
        <v>284</v>
      </c>
      <c r="B292" s="89">
        <v>133529</v>
      </c>
      <c r="C292" s="45">
        <v>46034</v>
      </c>
      <c r="D292" s="71">
        <v>0.625</v>
      </c>
      <c r="E292" s="70"/>
      <c r="F292" s="102">
        <v>8.9</v>
      </c>
      <c r="G292" s="88" t="s">
        <v>494</v>
      </c>
      <c r="H292" s="94">
        <v>0.61527777777777781</v>
      </c>
      <c r="I292" s="94" t="s">
        <v>55</v>
      </c>
      <c r="J292" s="88"/>
      <c r="K292" s="30"/>
      <c r="L292" s="19" t="s">
        <v>44</v>
      </c>
    </row>
    <row r="293" spans="1:12" s="68" customFormat="1" ht="15" x14ac:dyDescent="0.25">
      <c r="A293" s="46">
        <v>285</v>
      </c>
      <c r="B293" s="89">
        <v>133531</v>
      </c>
      <c r="C293" s="45">
        <v>46034</v>
      </c>
      <c r="D293" s="71"/>
      <c r="E293" s="70">
        <v>0.70833333333333337</v>
      </c>
      <c r="F293" s="102">
        <v>11</v>
      </c>
      <c r="G293" s="88" t="s">
        <v>510</v>
      </c>
      <c r="H293" s="94"/>
      <c r="I293" s="94" t="s">
        <v>54</v>
      </c>
      <c r="J293" s="88"/>
      <c r="K293" s="30"/>
      <c r="L293" s="19" t="s">
        <v>44</v>
      </c>
    </row>
    <row r="294" spans="1:12" s="68" customFormat="1" ht="15" x14ac:dyDescent="0.25">
      <c r="A294" s="46">
        <v>286</v>
      </c>
      <c r="B294" s="89">
        <v>133532</v>
      </c>
      <c r="C294" s="45">
        <v>46034</v>
      </c>
      <c r="D294" s="71">
        <v>0.75</v>
      </c>
      <c r="E294" s="70"/>
      <c r="F294" s="102">
        <v>10</v>
      </c>
      <c r="G294" s="88" t="s">
        <v>511</v>
      </c>
      <c r="H294" s="94">
        <v>0.74305555555555547</v>
      </c>
      <c r="I294" s="94" t="s">
        <v>55</v>
      </c>
      <c r="J294" s="88"/>
      <c r="K294" s="30"/>
      <c r="L294" s="19" t="s">
        <v>44</v>
      </c>
    </row>
    <row r="295" spans="1:12" s="68" customFormat="1" ht="15" x14ac:dyDescent="0.25">
      <c r="A295" s="46">
        <v>287</v>
      </c>
      <c r="B295" s="89">
        <v>133533</v>
      </c>
      <c r="C295" s="45">
        <v>46034</v>
      </c>
      <c r="D295" s="71"/>
      <c r="E295" s="70">
        <v>0.75</v>
      </c>
      <c r="F295" s="102">
        <v>12.5</v>
      </c>
      <c r="G295" s="88" t="s">
        <v>512</v>
      </c>
      <c r="H295" s="94"/>
      <c r="I295" s="94" t="s">
        <v>54</v>
      </c>
      <c r="J295" s="88"/>
      <c r="K295" s="30"/>
      <c r="L295" s="19" t="s">
        <v>44</v>
      </c>
    </row>
    <row r="296" spans="1:12" s="68" customFormat="1" ht="15" x14ac:dyDescent="0.25">
      <c r="A296" s="46">
        <v>288</v>
      </c>
      <c r="B296" s="89">
        <v>133534</v>
      </c>
      <c r="C296" s="45">
        <v>46035</v>
      </c>
      <c r="D296" s="71">
        <v>0.33333333333333331</v>
      </c>
      <c r="E296" s="70"/>
      <c r="F296" s="102">
        <v>7.5</v>
      </c>
      <c r="G296" s="88" t="s">
        <v>137</v>
      </c>
      <c r="H296" s="94">
        <v>0.32291666666666669</v>
      </c>
      <c r="I296" s="94" t="s">
        <v>55</v>
      </c>
      <c r="J296" s="88"/>
      <c r="K296" s="30"/>
      <c r="L296" s="19" t="s">
        <v>44</v>
      </c>
    </row>
    <row r="297" spans="1:12" s="68" customFormat="1" ht="15" x14ac:dyDescent="0.25">
      <c r="A297" s="46">
        <v>289</v>
      </c>
      <c r="B297" s="89">
        <v>133535</v>
      </c>
      <c r="C297" s="45">
        <v>46035</v>
      </c>
      <c r="D297" s="71">
        <v>0.58333333333333337</v>
      </c>
      <c r="E297" s="70"/>
      <c r="F297" s="102">
        <v>12.8</v>
      </c>
      <c r="G297" s="88" t="s">
        <v>509</v>
      </c>
      <c r="H297" s="94">
        <v>0.57638888888888895</v>
      </c>
      <c r="I297" s="94" t="s">
        <v>55</v>
      </c>
      <c r="J297" s="88"/>
      <c r="K297" s="30"/>
      <c r="L297" s="19" t="s">
        <v>44</v>
      </c>
    </row>
    <row r="298" spans="1:12" s="68" customFormat="1" ht="15" x14ac:dyDescent="0.25">
      <c r="A298" s="46">
        <v>290</v>
      </c>
      <c r="B298" s="89">
        <v>133536</v>
      </c>
      <c r="C298" s="45">
        <v>46035</v>
      </c>
      <c r="D298" s="71">
        <v>0.625</v>
      </c>
      <c r="E298" s="70"/>
      <c r="F298" s="102">
        <v>9</v>
      </c>
      <c r="G298" s="88" t="s">
        <v>494</v>
      </c>
      <c r="H298" s="94">
        <v>0.61319444444444449</v>
      </c>
      <c r="I298" s="94" t="s">
        <v>55</v>
      </c>
      <c r="J298" s="88"/>
      <c r="K298" s="30"/>
      <c r="L298" s="19" t="s">
        <v>44</v>
      </c>
    </row>
    <row r="299" spans="1:12" s="68" customFormat="1" ht="15" x14ac:dyDescent="0.25">
      <c r="A299" s="46">
        <v>291</v>
      </c>
      <c r="B299" s="89">
        <v>133537</v>
      </c>
      <c r="C299" s="45">
        <v>46035</v>
      </c>
      <c r="D299" s="71"/>
      <c r="E299" s="70">
        <v>0.625</v>
      </c>
      <c r="F299" s="102">
        <v>14</v>
      </c>
      <c r="G299" s="88" t="s">
        <v>513</v>
      </c>
      <c r="H299" s="94"/>
      <c r="I299" s="94" t="s">
        <v>54</v>
      </c>
      <c r="J299" s="88"/>
      <c r="K299" s="30"/>
      <c r="L299" s="19" t="s">
        <v>44</v>
      </c>
    </row>
    <row r="300" spans="1:12" s="68" customFormat="1" ht="15" x14ac:dyDescent="0.25">
      <c r="A300" s="46">
        <v>292</v>
      </c>
      <c r="B300" s="89">
        <v>133538</v>
      </c>
      <c r="C300" s="45">
        <v>46035</v>
      </c>
      <c r="D300" s="71"/>
      <c r="E300" s="70">
        <v>0.70833333333333337</v>
      </c>
      <c r="F300" s="102">
        <v>9</v>
      </c>
      <c r="G300" s="88" t="s">
        <v>514</v>
      </c>
      <c r="H300" s="94"/>
      <c r="I300" s="94" t="s">
        <v>54</v>
      </c>
      <c r="J300" s="88"/>
      <c r="K300" s="30"/>
      <c r="L300" s="19" t="s">
        <v>44</v>
      </c>
    </row>
    <row r="301" spans="1:12" s="68" customFormat="1" ht="15" x14ac:dyDescent="0.25">
      <c r="A301" s="46">
        <v>293</v>
      </c>
      <c r="B301" s="89">
        <v>133539</v>
      </c>
      <c r="C301" s="45">
        <v>46035</v>
      </c>
      <c r="D301" s="71"/>
      <c r="E301" s="70">
        <v>0.75</v>
      </c>
      <c r="F301" s="102">
        <v>7.5</v>
      </c>
      <c r="G301" s="88" t="s">
        <v>515</v>
      </c>
      <c r="H301" s="94"/>
      <c r="I301" s="94" t="s">
        <v>54</v>
      </c>
      <c r="J301" s="88"/>
      <c r="K301" s="30"/>
      <c r="L301" s="19" t="s">
        <v>44</v>
      </c>
    </row>
    <row r="302" spans="1:12" s="68" customFormat="1" ht="15" x14ac:dyDescent="0.25">
      <c r="A302" s="46">
        <v>294</v>
      </c>
      <c r="B302" s="89">
        <v>133540</v>
      </c>
      <c r="C302" s="45">
        <v>46036</v>
      </c>
      <c r="D302" s="71">
        <v>0.33333333333333331</v>
      </c>
      <c r="E302" s="70"/>
      <c r="F302" s="102">
        <v>6.5</v>
      </c>
      <c r="G302" s="88" t="s">
        <v>101</v>
      </c>
      <c r="H302" s="94">
        <v>0.32291666666666669</v>
      </c>
      <c r="I302" s="94" t="s">
        <v>55</v>
      </c>
      <c r="J302" s="88"/>
      <c r="K302" s="30"/>
      <c r="L302" s="19" t="s">
        <v>44</v>
      </c>
    </row>
    <row r="303" spans="1:12" s="68" customFormat="1" thickBot="1" x14ac:dyDescent="0.3">
      <c r="A303" s="46">
        <v>295</v>
      </c>
      <c r="B303" s="90">
        <v>133541</v>
      </c>
      <c r="C303" s="108">
        <v>46036</v>
      </c>
      <c r="D303" s="73">
        <v>0.58333333333333337</v>
      </c>
      <c r="E303" s="74"/>
      <c r="F303" s="114">
        <v>12.8</v>
      </c>
      <c r="G303" s="106" t="s">
        <v>509</v>
      </c>
      <c r="H303" s="95"/>
      <c r="I303" s="95" t="s">
        <v>54</v>
      </c>
      <c r="J303" s="106"/>
      <c r="K303" s="65"/>
      <c r="L303" s="78" t="s">
        <v>44</v>
      </c>
    </row>
    <row r="304" spans="1:12" s="68" customFormat="1" ht="15" x14ac:dyDescent="0.25">
      <c r="A304" s="46">
        <v>296</v>
      </c>
      <c r="B304" s="89">
        <v>135999</v>
      </c>
      <c r="C304" s="45">
        <v>46020</v>
      </c>
      <c r="D304" s="71"/>
      <c r="E304" s="70" t="s">
        <v>282</v>
      </c>
      <c r="F304" s="102">
        <v>9.4</v>
      </c>
      <c r="G304" s="88" t="s">
        <v>368</v>
      </c>
      <c r="H304" s="94"/>
      <c r="I304" s="94" t="s">
        <v>54</v>
      </c>
      <c r="J304" s="88"/>
      <c r="K304" s="30"/>
      <c r="L304" s="19" t="s">
        <v>45</v>
      </c>
    </row>
    <row r="305" spans="1:12" s="68" customFormat="1" ht="15" x14ac:dyDescent="0.25">
      <c r="A305" s="46">
        <v>297</v>
      </c>
      <c r="B305" s="89">
        <v>136303</v>
      </c>
      <c r="C305" s="45">
        <v>46020</v>
      </c>
      <c r="D305" s="71"/>
      <c r="E305" s="70" t="s">
        <v>271</v>
      </c>
      <c r="F305" s="102">
        <v>8.6999999999999993</v>
      </c>
      <c r="G305" s="88" t="s">
        <v>369</v>
      </c>
      <c r="H305" s="94"/>
      <c r="I305" s="94" t="s">
        <v>54</v>
      </c>
      <c r="J305" s="88"/>
      <c r="K305" s="30"/>
      <c r="L305" s="19" t="s">
        <v>45</v>
      </c>
    </row>
    <row r="306" spans="1:12" s="68" customFormat="1" ht="15" x14ac:dyDescent="0.25">
      <c r="A306" s="46">
        <v>298</v>
      </c>
      <c r="B306" s="89">
        <v>136305</v>
      </c>
      <c r="C306" s="45">
        <v>46021</v>
      </c>
      <c r="D306" s="71"/>
      <c r="E306" s="70" t="s">
        <v>282</v>
      </c>
      <c r="F306" s="102">
        <v>9.4</v>
      </c>
      <c r="G306" s="88" t="s">
        <v>368</v>
      </c>
      <c r="H306" s="94"/>
      <c r="I306" s="94" t="s">
        <v>54</v>
      </c>
      <c r="J306" s="88"/>
      <c r="K306" s="30"/>
      <c r="L306" s="19" t="s">
        <v>45</v>
      </c>
    </row>
    <row r="307" spans="1:12" s="68" customFormat="1" ht="15" x14ac:dyDescent="0.25">
      <c r="A307" s="46">
        <v>299</v>
      </c>
      <c r="B307" s="89">
        <v>136306</v>
      </c>
      <c r="C307" s="45">
        <v>46021</v>
      </c>
      <c r="D307" s="71"/>
      <c r="E307" s="70" t="s">
        <v>243</v>
      </c>
      <c r="F307" s="102">
        <v>6.5</v>
      </c>
      <c r="G307" s="88" t="s">
        <v>242</v>
      </c>
      <c r="H307" s="94"/>
      <c r="I307" s="94" t="s">
        <v>54</v>
      </c>
      <c r="J307" s="88"/>
      <c r="K307" s="30"/>
      <c r="L307" s="19" t="s">
        <v>45</v>
      </c>
    </row>
    <row r="308" spans="1:12" s="68" customFormat="1" ht="15" x14ac:dyDescent="0.25">
      <c r="A308" s="46">
        <v>300</v>
      </c>
      <c r="B308" s="89">
        <v>136307</v>
      </c>
      <c r="C308" s="45">
        <v>46021</v>
      </c>
      <c r="D308" s="71"/>
      <c r="E308" s="70" t="s">
        <v>271</v>
      </c>
      <c r="F308" s="102">
        <v>12.6</v>
      </c>
      <c r="G308" s="88" t="s">
        <v>370</v>
      </c>
      <c r="H308" s="94"/>
      <c r="I308" s="94" t="s">
        <v>54</v>
      </c>
      <c r="J308" s="88"/>
      <c r="K308" s="30"/>
      <c r="L308" s="19" t="s">
        <v>45</v>
      </c>
    </row>
    <row r="309" spans="1:12" s="68" customFormat="1" ht="15" x14ac:dyDescent="0.25">
      <c r="A309" s="46">
        <v>301</v>
      </c>
      <c r="B309" s="89">
        <v>136308</v>
      </c>
      <c r="C309" s="45">
        <v>46022</v>
      </c>
      <c r="D309" s="71" t="s">
        <v>241</v>
      </c>
      <c r="E309" s="70"/>
      <c r="F309" s="102">
        <v>6.5</v>
      </c>
      <c r="G309" s="88" t="s">
        <v>242</v>
      </c>
      <c r="H309" s="94"/>
      <c r="I309" s="94" t="s">
        <v>55</v>
      </c>
      <c r="J309" s="88"/>
      <c r="K309" s="30"/>
      <c r="L309" s="19" t="s">
        <v>45</v>
      </c>
    </row>
    <row r="310" spans="1:12" s="68" customFormat="1" ht="15" x14ac:dyDescent="0.25">
      <c r="A310" s="46">
        <v>302</v>
      </c>
      <c r="B310" s="89">
        <v>136309</v>
      </c>
      <c r="C310" s="45">
        <v>46022</v>
      </c>
      <c r="D310" s="71"/>
      <c r="E310" s="70" t="s">
        <v>341</v>
      </c>
      <c r="F310" s="102">
        <v>8.5</v>
      </c>
      <c r="G310" s="88" t="s">
        <v>185</v>
      </c>
      <c r="H310" s="94"/>
      <c r="I310" s="94" t="s">
        <v>54</v>
      </c>
      <c r="J310" s="88"/>
      <c r="K310" s="30"/>
      <c r="L310" s="19" t="s">
        <v>45</v>
      </c>
    </row>
    <row r="311" spans="1:12" s="68" customFormat="1" ht="15" x14ac:dyDescent="0.25">
      <c r="A311" s="46">
        <v>303</v>
      </c>
      <c r="B311" s="89">
        <v>136310</v>
      </c>
      <c r="C311" s="45">
        <v>46027</v>
      </c>
      <c r="D311" s="71"/>
      <c r="E311" s="70" t="s">
        <v>282</v>
      </c>
      <c r="F311" s="102">
        <v>10.5</v>
      </c>
      <c r="G311" s="88" t="s">
        <v>371</v>
      </c>
      <c r="H311" s="94"/>
      <c r="I311" s="94" t="s">
        <v>54</v>
      </c>
      <c r="J311" s="88"/>
      <c r="K311" s="30"/>
      <c r="L311" s="19" t="s">
        <v>45</v>
      </c>
    </row>
    <row r="312" spans="1:12" s="68" customFormat="1" ht="15" x14ac:dyDescent="0.25">
      <c r="A312" s="46">
        <v>304</v>
      </c>
      <c r="B312" s="89">
        <v>136312</v>
      </c>
      <c r="C312" s="45">
        <v>46028</v>
      </c>
      <c r="D312" s="71" t="s">
        <v>239</v>
      </c>
      <c r="E312" s="70"/>
      <c r="F312" s="102">
        <v>11</v>
      </c>
      <c r="G312" s="88" t="s">
        <v>372</v>
      </c>
      <c r="H312" s="94" t="s">
        <v>373</v>
      </c>
      <c r="I312" s="94" t="s">
        <v>55</v>
      </c>
      <c r="J312" s="88"/>
      <c r="K312" s="30"/>
      <c r="L312" s="19" t="s">
        <v>45</v>
      </c>
    </row>
    <row r="313" spans="1:12" s="68" customFormat="1" ht="15" x14ac:dyDescent="0.25">
      <c r="A313" s="46">
        <v>305</v>
      </c>
      <c r="B313" s="89">
        <v>136313</v>
      </c>
      <c r="C313" s="45">
        <v>46028</v>
      </c>
      <c r="D313" s="71" t="s">
        <v>312</v>
      </c>
      <c r="E313" s="70"/>
      <c r="F313" s="102">
        <v>10.7</v>
      </c>
      <c r="G313" s="88" t="s">
        <v>374</v>
      </c>
      <c r="H313" s="94" t="s">
        <v>314</v>
      </c>
      <c r="I313" s="94" t="s">
        <v>55</v>
      </c>
      <c r="J313" s="88"/>
      <c r="K313" s="30"/>
      <c r="L313" s="19" t="s">
        <v>45</v>
      </c>
    </row>
    <row r="314" spans="1:12" s="68" customFormat="1" ht="15" x14ac:dyDescent="0.25">
      <c r="A314" s="46">
        <v>306</v>
      </c>
      <c r="B314" s="89">
        <v>136314</v>
      </c>
      <c r="C314" s="45">
        <v>46028</v>
      </c>
      <c r="D314" s="71"/>
      <c r="E314" s="70" t="s">
        <v>282</v>
      </c>
      <c r="F314" s="102">
        <v>9</v>
      </c>
      <c r="G314" s="88" t="s">
        <v>375</v>
      </c>
      <c r="H314" s="94"/>
      <c r="I314" s="94" t="s">
        <v>54</v>
      </c>
      <c r="J314" s="88"/>
      <c r="K314" s="30"/>
      <c r="L314" s="19" t="s">
        <v>45</v>
      </c>
    </row>
    <row r="315" spans="1:12" s="68" customFormat="1" ht="15" x14ac:dyDescent="0.25">
      <c r="A315" s="46">
        <v>307</v>
      </c>
      <c r="B315" s="89">
        <v>136315</v>
      </c>
      <c r="C315" s="45">
        <v>46029</v>
      </c>
      <c r="D315" s="71" t="s">
        <v>241</v>
      </c>
      <c r="E315" s="70"/>
      <c r="F315" s="102">
        <v>6</v>
      </c>
      <c r="G315" s="88" t="s">
        <v>225</v>
      </c>
      <c r="H315" s="94" t="s">
        <v>376</v>
      </c>
      <c r="I315" s="94" t="s">
        <v>55</v>
      </c>
      <c r="J315" s="88"/>
      <c r="K315" s="30"/>
      <c r="L315" s="19" t="s">
        <v>45</v>
      </c>
    </row>
    <row r="316" spans="1:12" s="68" customFormat="1" ht="15" x14ac:dyDescent="0.25">
      <c r="A316" s="46">
        <v>308</v>
      </c>
      <c r="B316" s="89">
        <v>136317</v>
      </c>
      <c r="C316" s="45">
        <v>46029</v>
      </c>
      <c r="D316" s="71"/>
      <c r="E316" s="70" t="s">
        <v>333</v>
      </c>
      <c r="F316" s="102">
        <v>6</v>
      </c>
      <c r="G316" s="88" t="s">
        <v>355</v>
      </c>
      <c r="H316" s="94"/>
      <c r="I316" s="94" t="s">
        <v>54</v>
      </c>
      <c r="J316" s="88"/>
      <c r="K316" s="30"/>
      <c r="L316" s="19" t="s">
        <v>45</v>
      </c>
    </row>
    <row r="317" spans="1:12" s="68" customFormat="1" ht="15" x14ac:dyDescent="0.25">
      <c r="A317" s="46">
        <v>309</v>
      </c>
      <c r="B317" s="89">
        <v>136319</v>
      </c>
      <c r="C317" s="45">
        <v>46029</v>
      </c>
      <c r="D317" s="71" t="s">
        <v>310</v>
      </c>
      <c r="E317" s="70"/>
      <c r="F317" s="102">
        <v>12</v>
      </c>
      <c r="G317" s="88" t="s">
        <v>377</v>
      </c>
      <c r="H317" s="94" t="s">
        <v>378</v>
      </c>
      <c r="I317" s="94" t="s">
        <v>55</v>
      </c>
      <c r="J317" s="88"/>
      <c r="K317" s="30"/>
      <c r="L317" s="19" t="s">
        <v>45</v>
      </c>
    </row>
    <row r="318" spans="1:12" s="68" customFormat="1" ht="15" x14ac:dyDescent="0.25">
      <c r="A318" s="46">
        <v>310</v>
      </c>
      <c r="B318" s="89">
        <v>136320</v>
      </c>
      <c r="C318" s="45">
        <v>46029</v>
      </c>
      <c r="D318" s="71"/>
      <c r="E318" s="70" t="s">
        <v>310</v>
      </c>
      <c r="F318" s="102">
        <v>8.5</v>
      </c>
      <c r="G318" s="88" t="s">
        <v>379</v>
      </c>
      <c r="H318" s="94"/>
      <c r="I318" s="94" t="s">
        <v>54</v>
      </c>
      <c r="J318" s="88"/>
      <c r="K318" s="30"/>
      <c r="L318" s="19" t="s">
        <v>45</v>
      </c>
    </row>
    <row r="319" spans="1:12" s="68" customFormat="1" ht="15" x14ac:dyDescent="0.25">
      <c r="A319" s="46">
        <v>311</v>
      </c>
      <c r="B319" s="89">
        <v>136321</v>
      </c>
      <c r="C319" s="45">
        <v>46030</v>
      </c>
      <c r="D319" s="71" t="s">
        <v>241</v>
      </c>
      <c r="E319" s="70"/>
      <c r="F319" s="102">
        <v>6</v>
      </c>
      <c r="G319" s="88" t="s">
        <v>225</v>
      </c>
      <c r="H319" s="94" t="s">
        <v>376</v>
      </c>
      <c r="I319" s="94" t="s">
        <v>55</v>
      </c>
      <c r="J319" s="88"/>
      <c r="K319" s="30"/>
      <c r="L319" s="19" t="s">
        <v>45</v>
      </c>
    </row>
    <row r="320" spans="1:12" s="68" customFormat="1" ht="15" x14ac:dyDescent="0.25">
      <c r="A320" s="46">
        <v>312</v>
      </c>
      <c r="B320" s="89">
        <v>136322</v>
      </c>
      <c r="C320" s="45">
        <v>46030</v>
      </c>
      <c r="D320" s="71"/>
      <c r="E320" s="70" t="s">
        <v>271</v>
      </c>
      <c r="F320" s="102">
        <v>9</v>
      </c>
      <c r="G320" s="88" t="s">
        <v>380</v>
      </c>
      <c r="H320" s="94"/>
      <c r="I320" s="94" t="s">
        <v>54</v>
      </c>
      <c r="J320" s="88"/>
      <c r="K320" s="30"/>
      <c r="L320" s="19" t="s">
        <v>45</v>
      </c>
    </row>
    <row r="321" spans="1:12" s="68" customFormat="1" ht="15" x14ac:dyDescent="0.25">
      <c r="A321" s="46">
        <v>313</v>
      </c>
      <c r="B321" s="89">
        <v>136323</v>
      </c>
      <c r="C321" s="45">
        <v>46030</v>
      </c>
      <c r="D321" s="71" t="s">
        <v>241</v>
      </c>
      <c r="E321" s="70"/>
      <c r="F321" s="102">
        <v>6</v>
      </c>
      <c r="G321" s="88" t="s">
        <v>225</v>
      </c>
      <c r="H321" s="94" t="s">
        <v>381</v>
      </c>
      <c r="I321" s="94" t="s">
        <v>55</v>
      </c>
      <c r="J321" s="88"/>
      <c r="K321" s="30"/>
      <c r="L321" s="19" t="s">
        <v>45</v>
      </c>
    </row>
    <row r="322" spans="1:12" s="68" customFormat="1" ht="15" x14ac:dyDescent="0.25">
      <c r="A322" s="46">
        <v>314</v>
      </c>
      <c r="B322" s="89">
        <v>136324</v>
      </c>
      <c r="C322" s="45">
        <v>46031</v>
      </c>
      <c r="D322" s="71" t="s">
        <v>382</v>
      </c>
      <c r="E322" s="70"/>
      <c r="F322" s="102">
        <v>10</v>
      </c>
      <c r="G322" s="88" t="s">
        <v>383</v>
      </c>
      <c r="H322" s="94"/>
      <c r="I322" s="94" t="s">
        <v>55</v>
      </c>
      <c r="J322" s="88"/>
      <c r="K322" s="30"/>
      <c r="L322" s="19" t="s">
        <v>45</v>
      </c>
    </row>
    <row r="323" spans="1:12" s="68" customFormat="1" ht="15" x14ac:dyDescent="0.25">
      <c r="A323" s="46">
        <v>315</v>
      </c>
      <c r="B323" s="89">
        <v>136325</v>
      </c>
      <c r="C323" s="45">
        <v>46030</v>
      </c>
      <c r="D323" s="71"/>
      <c r="E323" s="70" t="s">
        <v>282</v>
      </c>
      <c r="F323" s="102">
        <v>11</v>
      </c>
      <c r="G323" s="88" t="s">
        <v>384</v>
      </c>
      <c r="H323" s="94"/>
      <c r="I323" s="94" t="s">
        <v>54</v>
      </c>
      <c r="J323" s="88"/>
      <c r="K323" s="30"/>
      <c r="L323" s="19" t="s">
        <v>45</v>
      </c>
    </row>
    <row r="324" spans="1:12" s="68" customFormat="1" ht="15" x14ac:dyDescent="0.25">
      <c r="A324" s="46">
        <v>316</v>
      </c>
      <c r="B324" s="89">
        <v>136326</v>
      </c>
      <c r="C324" s="45">
        <v>46032</v>
      </c>
      <c r="D324" s="71" t="s">
        <v>264</v>
      </c>
      <c r="E324" s="70"/>
      <c r="F324" s="102">
        <v>11.6</v>
      </c>
      <c r="G324" s="88" t="s">
        <v>385</v>
      </c>
      <c r="H324" s="94" t="s">
        <v>386</v>
      </c>
      <c r="I324" s="94" t="s">
        <v>55</v>
      </c>
      <c r="J324" s="88"/>
      <c r="K324" s="30"/>
      <c r="L324" s="19" t="s">
        <v>45</v>
      </c>
    </row>
    <row r="325" spans="1:12" s="68" customFormat="1" ht="15" x14ac:dyDescent="0.25">
      <c r="A325" s="46">
        <v>317</v>
      </c>
      <c r="B325" s="89">
        <v>136327</v>
      </c>
      <c r="C325" s="45">
        <v>46032</v>
      </c>
      <c r="D325" s="71"/>
      <c r="E325" s="70" t="s">
        <v>301</v>
      </c>
      <c r="F325" s="102">
        <v>10</v>
      </c>
      <c r="G325" s="88" t="s">
        <v>387</v>
      </c>
      <c r="H325" s="94"/>
      <c r="I325" s="94" t="s">
        <v>54</v>
      </c>
      <c r="J325" s="88"/>
      <c r="K325" s="30"/>
      <c r="L325" s="19" t="s">
        <v>45</v>
      </c>
    </row>
    <row r="326" spans="1:12" s="68" customFormat="1" ht="15" x14ac:dyDescent="0.25">
      <c r="A326" s="46">
        <v>318</v>
      </c>
      <c r="B326" s="89">
        <v>136330</v>
      </c>
      <c r="C326" s="45">
        <v>46034</v>
      </c>
      <c r="D326" s="71"/>
      <c r="E326" s="70" t="s">
        <v>282</v>
      </c>
      <c r="F326" s="102">
        <v>10</v>
      </c>
      <c r="G326" s="88" t="s">
        <v>388</v>
      </c>
      <c r="H326" s="94"/>
      <c r="I326" s="94" t="s">
        <v>54</v>
      </c>
      <c r="J326" s="88"/>
      <c r="K326" s="30"/>
      <c r="L326" s="19" t="s">
        <v>45</v>
      </c>
    </row>
    <row r="327" spans="1:12" s="68" customFormat="1" ht="15" x14ac:dyDescent="0.25">
      <c r="A327" s="46">
        <v>319</v>
      </c>
      <c r="B327" s="89">
        <v>136331</v>
      </c>
      <c r="C327" s="45">
        <v>46034</v>
      </c>
      <c r="D327" s="71"/>
      <c r="E327" s="70" t="s">
        <v>243</v>
      </c>
      <c r="F327" s="102">
        <v>6.5</v>
      </c>
      <c r="G327" s="88" t="s">
        <v>242</v>
      </c>
      <c r="H327" s="94"/>
      <c r="I327" s="94" t="s">
        <v>54</v>
      </c>
      <c r="J327" s="88"/>
      <c r="K327" s="30"/>
      <c r="L327" s="19" t="s">
        <v>45</v>
      </c>
    </row>
    <row r="328" spans="1:12" s="68" customFormat="1" ht="15" x14ac:dyDescent="0.25">
      <c r="A328" s="46">
        <v>320</v>
      </c>
      <c r="B328" s="89">
        <v>136328</v>
      </c>
      <c r="C328" s="45">
        <v>46034</v>
      </c>
      <c r="D328" s="71" t="s">
        <v>241</v>
      </c>
      <c r="E328" s="70"/>
      <c r="F328" s="102">
        <v>6.5</v>
      </c>
      <c r="G328" s="88" t="s">
        <v>242</v>
      </c>
      <c r="H328" s="94"/>
      <c r="I328" s="94" t="s">
        <v>55</v>
      </c>
      <c r="J328" s="88"/>
      <c r="K328" s="30"/>
      <c r="L328" s="19" t="s">
        <v>45</v>
      </c>
    </row>
    <row r="329" spans="1:12" s="68" customFormat="1" ht="15" x14ac:dyDescent="0.25">
      <c r="A329" s="46">
        <v>321</v>
      </c>
      <c r="B329" s="89">
        <v>136329</v>
      </c>
      <c r="C329" s="45">
        <v>46034</v>
      </c>
      <c r="D329" s="71" t="s">
        <v>389</v>
      </c>
      <c r="E329" s="70"/>
      <c r="F329" s="102">
        <v>8.3000000000000007</v>
      </c>
      <c r="G329" s="88" t="s">
        <v>390</v>
      </c>
      <c r="H329" s="94"/>
      <c r="I329" s="94" t="s">
        <v>55</v>
      </c>
      <c r="J329" s="88"/>
      <c r="K329" s="30"/>
      <c r="L329" s="19" t="s">
        <v>45</v>
      </c>
    </row>
    <row r="330" spans="1:12" s="68" customFormat="1" ht="15" x14ac:dyDescent="0.25">
      <c r="A330" s="46">
        <v>322</v>
      </c>
      <c r="B330" s="89">
        <v>136332</v>
      </c>
      <c r="C330" s="45">
        <v>46034</v>
      </c>
      <c r="D330" s="71"/>
      <c r="E330" s="70" t="s">
        <v>271</v>
      </c>
      <c r="F330" s="102">
        <v>13.5</v>
      </c>
      <c r="G330" s="88" t="s">
        <v>391</v>
      </c>
      <c r="H330" s="94"/>
      <c r="I330" s="94" t="s">
        <v>54</v>
      </c>
      <c r="J330" s="88"/>
      <c r="K330" s="30"/>
      <c r="L330" s="19" t="s">
        <v>45</v>
      </c>
    </row>
    <row r="331" spans="1:12" s="68" customFormat="1" ht="15" x14ac:dyDescent="0.25">
      <c r="A331" s="46">
        <v>323</v>
      </c>
      <c r="B331" s="89">
        <v>136333</v>
      </c>
      <c r="C331" s="45">
        <v>46035</v>
      </c>
      <c r="D331" s="71" t="s">
        <v>241</v>
      </c>
      <c r="E331" s="70"/>
      <c r="F331" s="102">
        <v>6.5</v>
      </c>
      <c r="G331" s="88" t="s">
        <v>242</v>
      </c>
      <c r="H331" s="94" t="s">
        <v>392</v>
      </c>
      <c r="I331" s="94" t="s">
        <v>55</v>
      </c>
      <c r="J331" s="88"/>
      <c r="K331" s="30"/>
      <c r="L331" s="19" t="s">
        <v>45</v>
      </c>
    </row>
    <row r="332" spans="1:12" s="68" customFormat="1" ht="15" x14ac:dyDescent="0.25">
      <c r="A332" s="46">
        <v>324</v>
      </c>
      <c r="B332" s="89">
        <v>136334</v>
      </c>
      <c r="C332" s="45">
        <v>46035</v>
      </c>
      <c r="D332" s="71" t="s">
        <v>341</v>
      </c>
      <c r="E332" s="70"/>
      <c r="F332" s="102">
        <v>8.8000000000000007</v>
      </c>
      <c r="G332" s="88" t="s">
        <v>393</v>
      </c>
      <c r="H332" s="94"/>
      <c r="I332" s="94" t="s">
        <v>55</v>
      </c>
      <c r="J332" s="88"/>
      <c r="K332" s="30"/>
      <c r="L332" s="19" t="s">
        <v>45</v>
      </c>
    </row>
    <row r="333" spans="1:12" s="68" customFormat="1" ht="15" x14ac:dyDescent="0.25">
      <c r="A333" s="46">
        <v>325</v>
      </c>
      <c r="B333" s="89">
        <v>136335</v>
      </c>
      <c r="C333" s="45">
        <v>46035</v>
      </c>
      <c r="D333" s="71"/>
      <c r="E333" s="70" t="s">
        <v>282</v>
      </c>
      <c r="F333" s="102">
        <v>6.5</v>
      </c>
      <c r="G333" s="88" t="s">
        <v>242</v>
      </c>
      <c r="H333" s="94"/>
      <c r="I333" s="94" t="s">
        <v>54</v>
      </c>
      <c r="J333" s="88"/>
      <c r="K333" s="30"/>
      <c r="L333" s="19" t="s">
        <v>45</v>
      </c>
    </row>
    <row r="334" spans="1:12" s="68" customFormat="1" ht="15" x14ac:dyDescent="0.25">
      <c r="A334" s="46">
        <v>326</v>
      </c>
      <c r="B334" s="89">
        <v>136336</v>
      </c>
      <c r="C334" s="45">
        <v>46035</v>
      </c>
      <c r="D334" s="71"/>
      <c r="E334" s="70" t="s">
        <v>271</v>
      </c>
      <c r="F334" s="102">
        <v>12</v>
      </c>
      <c r="G334" s="88" t="s">
        <v>394</v>
      </c>
      <c r="H334" s="94"/>
      <c r="I334" s="94" t="s">
        <v>54</v>
      </c>
      <c r="J334" s="88"/>
      <c r="K334" s="30"/>
      <c r="L334" s="19" t="s">
        <v>45</v>
      </c>
    </row>
    <row r="335" spans="1:12" s="68" customFormat="1" ht="15" x14ac:dyDescent="0.25">
      <c r="A335" s="46">
        <v>327</v>
      </c>
      <c r="B335" s="89">
        <v>136338</v>
      </c>
      <c r="C335" s="45">
        <v>46035</v>
      </c>
      <c r="D335" s="71"/>
      <c r="E335" s="70" t="s">
        <v>310</v>
      </c>
      <c r="F335" s="102">
        <v>11</v>
      </c>
      <c r="G335" s="88" t="s">
        <v>142</v>
      </c>
      <c r="H335" s="94"/>
      <c r="I335" s="94" t="s">
        <v>54</v>
      </c>
      <c r="J335" s="88"/>
      <c r="K335" s="30"/>
      <c r="L335" s="19" t="s">
        <v>45</v>
      </c>
    </row>
    <row r="336" spans="1:12" s="68" customFormat="1" ht="15" x14ac:dyDescent="0.25">
      <c r="A336" s="46">
        <v>328</v>
      </c>
      <c r="B336" s="89">
        <v>136339</v>
      </c>
      <c r="C336" s="45">
        <v>46036</v>
      </c>
      <c r="D336" s="71"/>
      <c r="E336" s="70" t="s">
        <v>271</v>
      </c>
      <c r="F336" s="102">
        <v>10.6</v>
      </c>
      <c r="G336" s="88" t="s">
        <v>395</v>
      </c>
      <c r="H336" s="94"/>
      <c r="I336" s="94" t="s">
        <v>54</v>
      </c>
      <c r="J336" s="88"/>
      <c r="K336" s="30"/>
      <c r="L336" s="19" t="s">
        <v>45</v>
      </c>
    </row>
    <row r="337" spans="1:12" s="68" customFormat="1" ht="15" x14ac:dyDescent="0.25">
      <c r="A337" s="46">
        <v>329</v>
      </c>
      <c r="B337" s="89">
        <v>136342</v>
      </c>
      <c r="C337" s="45">
        <v>46036</v>
      </c>
      <c r="D337" s="71"/>
      <c r="E337" s="70" t="s">
        <v>310</v>
      </c>
      <c r="F337" s="102">
        <v>12.5</v>
      </c>
      <c r="G337" s="88" t="s">
        <v>396</v>
      </c>
      <c r="H337" s="94"/>
      <c r="I337" s="94" t="s">
        <v>54</v>
      </c>
      <c r="J337" s="88"/>
      <c r="K337" s="30"/>
      <c r="L337" s="19" t="s">
        <v>45</v>
      </c>
    </row>
    <row r="338" spans="1:12" s="68" customFormat="1" ht="15" x14ac:dyDescent="0.25">
      <c r="A338" s="46">
        <v>330</v>
      </c>
      <c r="B338" s="89">
        <v>136343</v>
      </c>
      <c r="C338" s="45">
        <v>46037</v>
      </c>
      <c r="D338" s="71" t="s">
        <v>241</v>
      </c>
      <c r="E338" s="70"/>
      <c r="F338" s="102">
        <v>6.5</v>
      </c>
      <c r="G338" s="88" t="s">
        <v>242</v>
      </c>
      <c r="H338" s="94" t="s">
        <v>397</v>
      </c>
      <c r="I338" s="94" t="s">
        <v>55</v>
      </c>
      <c r="J338" s="88"/>
      <c r="K338" s="30"/>
      <c r="L338" s="19" t="s">
        <v>45</v>
      </c>
    </row>
    <row r="339" spans="1:12" s="68" customFormat="1" ht="15" x14ac:dyDescent="0.25">
      <c r="A339" s="46">
        <v>331</v>
      </c>
      <c r="B339" s="89">
        <v>136344</v>
      </c>
      <c r="C339" s="45">
        <v>46037</v>
      </c>
      <c r="D339" s="71" t="s">
        <v>341</v>
      </c>
      <c r="E339" s="70"/>
      <c r="F339" s="102">
        <v>9.5</v>
      </c>
      <c r="G339" s="88" t="s">
        <v>393</v>
      </c>
      <c r="H339" s="94" t="s">
        <v>398</v>
      </c>
      <c r="I339" s="94" t="s">
        <v>55</v>
      </c>
      <c r="J339" s="88"/>
      <c r="K339" s="30"/>
      <c r="L339" s="19" t="s">
        <v>45</v>
      </c>
    </row>
    <row r="340" spans="1:12" s="68" customFormat="1" ht="15" x14ac:dyDescent="0.25">
      <c r="A340" s="46">
        <v>332</v>
      </c>
      <c r="B340" s="89">
        <v>136345</v>
      </c>
      <c r="C340" s="45">
        <v>46037</v>
      </c>
      <c r="D340" s="71"/>
      <c r="E340" s="70"/>
      <c r="F340" s="102">
        <v>6</v>
      </c>
      <c r="G340" s="88" t="s">
        <v>399</v>
      </c>
      <c r="H340" s="94"/>
      <c r="I340" s="94" t="s">
        <v>55</v>
      </c>
      <c r="J340" s="88"/>
      <c r="K340" s="30"/>
      <c r="L340" s="19" t="s">
        <v>45</v>
      </c>
    </row>
    <row r="341" spans="1:12" s="68" customFormat="1" ht="15" x14ac:dyDescent="0.25">
      <c r="A341" s="46">
        <v>333</v>
      </c>
      <c r="B341" s="89">
        <v>136346</v>
      </c>
      <c r="C341" s="45">
        <v>46037</v>
      </c>
      <c r="D341" s="71"/>
      <c r="E341" s="70" t="s">
        <v>282</v>
      </c>
      <c r="F341" s="102">
        <v>8</v>
      </c>
      <c r="G341" s="88" t="s">
        <v>400</v>
      </c>
      <c r="H341" s="94"/>
      <c r="I341" s="94" t="s">
        <v>54</v>
      </c>
      <c r="J341" s="88"/>
      <c r="K341" s="30"/>
      <c r="L341" s="19" t="s">
        <v>45</v>
      </c>
    </row>
    <row r="342" spans="1:12" s="68" customFormat="1" ht="15" x14ac:dyDescent="0.25">
      <c r="A342" s="46">
        <v>334</v>
      </c>
      <c r="B342" s="89">
        <v>136347</v>
      </c>
      <c r="C342" s="45">
        <v>46037</v>
      </c>
      <c r="D342" s="71"/>
      <c r="E342" s="70" t="s">
        <v>243</v>
      </c>
      <c r="F342" s="102">
        <v>6.5</v>
      </c>
      <c r="G342" s="88" t="s">
        <v>242</v>
      </c>
      <c r="H342" s="94"/>
      <c r="I342" s="94" t="s">
        <v>54</v>
      </c>
      <c r="J342" s="88"/>
      <c r="K342" s="30"/>
      <c r="L342" s="19" t="s">
        <v>45</v>
      </c>
    </row>
    <row r="343" spans="1:12" s="68" customFormat="1" ht="15" x14ac:dyDescent="0.25">
      <c r="A343" s="46">
        <v>335</v>
      </c>
      <c r="B343" s="89">
        <v>136348</v>
      </c>
      <c r="C343" s="45">
        <v>46037</v>
      </c>
      <c r="D343" s="71"/>
      <c r="E343" s="70" t="s">
        <v>271</v>
      </c>
      <c r="F343" s="102">
        <v>8</v>
      </c>
      <c r="G343" s="88" t="s">
        <v>401</v>
      </c>
      <c r="H343" s="94"/>
      <c r="I343" s="94" t="s">
        <v>54</v>
      </c>
      <c r="J343" s="88"/>
      <c r="K343" s="30"/>
      <c r="L343" s="19" t="s">
        <v>45</v>
      </c>
    </row>
    <row r="344" spans="1:12" s="68" customFormat="1" thickBot="1" x14ac:dyDescent="0.3">
      <c r="A344" s="46">
        <v>336</v>
      </c>
      <c r="B344" s="90">
        <v>136349</v>
      </c>
      <c r="C344" s="108">
        <v>46037</v>
      </c>
      <c r="D344" s="73"/>
      <c r="E344" s="74" t="s">
        <v>310</v>
      </c>
      <c r="F344" s="114">
        <v>10</v>
      </c>
      <c r="G344" s="106" t="s">
        <v>402</v>
      </c>
      <c r="H344" s="95"/>
      <c r="I344" s="95" t="s">
        <v>54</v>
      </c>
      <c r="J344" s="106"/>
      <c r="K344" s="65"/>
      <c r="L344" s="78" t="s">
        <v>45</v>
      </c>
    </row>
    <row r="345" spans="1:12" s="68" customFormat="1" ht="15" x14ac:dyDescent="0.25">
      <c r="A345" s="46">
        <v>337</v>
      </c>
      <c r="B345" s="89">
        <v>136292</v>
      </c>
      <c r="C345" s="72">
        <v>46020</v>
      </c>
      <c r="D345" s="71" t="s">
        <v>264</v>
      </c>
      <c r="E345" s="70"/>
      <c r="F345" s="69">
        <v>14.3</v>
      </c>
      <c r="G345" s="69" t="s">
        <v>403</v>
      </c>
      <c r="H345" s="94" t="s">
        <v>404</v>
      </c>
      <c r="I345" s="94" t="s">
        <v>55</v>
      </c>
      <c r="J345" s="88"/>
      <c r="K345" s="30"/>
      <c r="L345" s="19" t="s">
        <v>46</v>
      </c>
    </row>
    <row r="346" spans="1:12" s="68" customFormat="1" ht="15" x14ac:dyDescent="0.25">
      <c r="A346" s="46">
        <v>338</v>
      </c>
      <c r="B346" s="89">
        <v>136293</v>
      </c>
      <c r="C346" s="45">
        <v>46020</v>
      </c>
      <c r="D346" s="71" t="s">
        <v>239</v>
      </c>
      <c r="E346" s="70"/>
      <c r="F346" s="102">
        <v>9</v>
      </c>
      <c r="G346" s="88" t="s">
        <v>405</v>
      </c>
      <c r="H346" s="94" t="s">
        <v>406</v>
      </c>
      <c r="I346" s="94" t="s">
        <v>55</v>
      </c>
      <c r="J346" s="88"/>
      <c r="K346" s="30"/>
      <c r="L346" s="19" t="s">
        <v>46</v>
      </c>
    </row>
    <row r="347" spans="1:12" s="68" customFormat="1" ht="15" x14ac:dyDescent="0.25">
      <c r="A347" s="46">
        <v>339</v>
      </c>
      <c r="B347" s="89">
        <v>136294</v>
      </c>
      <c r="C347" s="45">
        <v>46020</v>
      </c>
      <c r="D347" s="71" t="s">
        <v>312</v>
      </c>
      <c r="E347" s="70"/>
      <c r="F347" s="102">
        <v>12.6</v>
      </c>
      <c r="G347" s="88" t="s">
        <v>407</v>
      </c>
      <c r="H347" s="94" t="s">
        <v>343</v>
      </c>
      <c r="I347" s="94" t="s">
        <v>55</v>
      </c>
      <c r="J347" s="88"/>
      <c r="K347" s="30"/>
      <c r="L347" s="19" t="s">
        <v>46</v>
      </c>
    </row>
    <row r="348" spans="1:12" s="68" customFormat="1" ht="15" x14ac:dyDescent="0.25">
      <c r="A348" s="46">
        <v>340</v>
      </c>
      <c r="B348" s="89">
        <v>136295</v>
      </c>
      <c r="C348" s="45">
        <v>46020</v>
      </c>
      <c r="D348" s="71" t="s">
        <v>333</v>
      </c>
      <c r="E348" s="70"/>
      <c r="F348" s="102">
        <v>6.9</v>
      </c>
      <c r="G348" s="88" t="s">
        <v>258</v>
      </c>
      <c r="H348" s="94" t="s">
        <v>408</v>
      </c>
      <c r="I348" s="94" t="s">
        <v>55</v>
      </c>
      <c r="J348" s="88"/>
      <c r="K348" s="30"/>
      <c r="L348" s="19" t="s">
        <v>46</v>
      </c>
    </row>
    <row r="349" spans="1:12" s="68" customFormat="1" ht="15" x14ac:dyDescent="0.25">
      <c r="A349" s="46">
        <v>341</v>
      </c>
      <c r="B349" s="89">
        <v>136297</v>
      </c>
      <c r="C349" s="45">
        <v>46385</v>
      </c>
      <c r="D349" s="71"/>
      <c r="E349" s="70" t="s">
        <v>271</v>
      </c>
      <c r="F349" s="102">
        <v>9.5</v>
      </c>
      <c r="G349" s="88" t="s">
        <v>409</v>
      </c>
      <c r="H349" s="94"/>
      <c r="I349" s="94" t="s">
        <v>54</v>
      </c>
      <c r="J349" s="88"/>
      <c r="K349" s="30"/>
      <c r="L349" s="19" t="s">
        <v>46</v>
      </c>
    </row>
    <row r="350" spans="1:12" s="68" customFormat="1" ht="15" x14ac:dyDescent="0.25">
      <c r="A350" s="46">
        <v>342</v>
      </c>
      <c r="B350" s="89">
        <v>128449</v>
      </c>
      <c r="C350" s="45">
        <v>46385</v>
      </c>
      <c r="D350" s="71" t="s">
        <v>236</v>
      </c>
      <c r="E350" s="70"/>
      <c r="F350" s="102">
        <v>13.5</v>
      </c>
      <c r="G350" s="88" t="s">
        <v>410</v>
      </c>
      <c r="H350" s="94" t="s">
        <v>411</v>
      </c>
      <c r="I350" s="94" t="s">
        <v>55</v>
      </c>
      <c r="J350" s="88"/>
      <c r="K350" s="30"/>
      <c r="L350" s="19" t="s">
        <v>46</v>
      </c>
    </row>
    <row r="351" spans="1:12" s="68" customFormat="1" ht="15" x14ac:dyDescent="0.25">
      <c r="A351" s="46">
        <v>343</v>
      </c>
      <c r="B351" s="89">
        <v>136298</v>
      </c>
      <c r="C351" s="45">
        <v>46021</v>
      </c>
      <c r="D351" s="71" t="s">
        <v>264</v>
      </c>
      <c r="E351" s="70"/>
      <c r="F351" s="102">
        <v>14.5</v>
      </c>
      <c r="G351" s="88" t="s">
        <v>412</v>
      </c>
      <c r="H351" s="94" t="s">
        <v>413</v>
      </c>
      <c r="I351" s="94" t="s">
        <v>55</v>
      </c>
      <c r="J351" s="88"/>
      <c r="K351" s="30"/>
      <c r="L351" s="19" t="s">
        <v>46</v>
      </c>
    </row>
    <row r="352" spans="1:12" s="68" customFormat="1" ht="15" x14ac:dyDescent="0.25">
      <c r="A352" s="46">
        <v>344</v>
      </c>
      <c r="B352" s="89">
        <v>136299</v>
      </c>
      <c r="C352" s="45">
        <v>46021</v>
      </c>
      <c r="D352" s="71"/>
      <c r="E352" s="70" t="s">
        <v>264</v>
      </c>
      <c r="F352" s="102">
        <v>10</v>
      </c>
      <c r="G352" s="88" t="s">
        <v>414</v>
      </c>
      <c r="H352" s="94"/>
      <c r="I352" s="94" t="s">
        <v>54</v>
      </c>
      <c r="J352" s="88"/>
      <c r="K352" s="30"/>
      <c r="L352" s="19" t="s">
        <v>46</v>
      </c>
    </row>
    <row r="353" spans="1:12" s="68" customFormat="1" ht="15" x14ac:dyDescent="0.25">
      <c r="A353" s="46">
        <v>345</v>
      </c>
      <c r="B353" s="89">
        <v>136300</v>
      </c>
      <c r="C353" s="45">
        <v>46021</v>
      </c>
      <c r="D353" s="71" t="s">
        <v>239</v>
      </c>
      <c r="E353" s="70"/>
      <c r="F353" s="102">
        <v>9</v>
      </c>
      <c r="G353" s="88" t="s">
        <v>405</v>
      </c>
      <c r="H353" s="94" t="s">
        <v>323</v>
      </c>
      <c r="I353" s="94" t="s">
        <v>55</v>
      </c>
      <c r="J353" s="88"/>
      <c r="K353" s="30"/>
      <c r="L353" s="19" t="s">
        <v>46</v>
      </c>
    </row>
    <row r="354" spans="1:12" s="68" customFormat="1" ht="15" x14ac:dyDescent="0.25">
      <c r="A354" s="46">
        <v>346</v>
      </c>
      <c r="B354" s="89">
        <v>134001</v>
      </c>
      <c r="C354" s="45">
        <v>46021</v>
      </c>
      <c r="D354" s="71"/>
      <c r="E354" s="70" t="s">
        <v>301</v>
      </c>
      <c r="F354" s="102">
        <v>11.7</v>
      </c>
      <c r="G354" s="88" t="s">
        <v>415</v>
      </c>
      <c r="H354" s="94"/>
      <c r="I354" s="94" t="s">
        <v>54</v>
      </c>
      <c r="J354" s="88">
        <v>20</v>
      </c>
      <c r="K354" s="30"/>
      <c r="L354" s="19" t="s">
        <v>46</v>
      </c>
    </row>
    <row r="355" spans="1:12" s="68" customFormat="1" ht="15" x14ac:dyDescent="0.25">
      <c r="A355" s="46">
        <v>347</v>
      </c>
      <c r="B355" s="89">
        <v>134002</v>
      </c>
      <c r="C355" s="45">
        <v>46021</v>
      </c>
      <c r="D355" s="71" t="s">
        <v>312</v>
      </c>
      <c r="E355" s="70"/>
      <c r="F355" s="102">
        <v>11.5</v>
      </c>
      <c r="G355" s="88" t="s">
        <v>338</v>
      </c>
      <c r="H355" s="94" t="s">
        <v>416</v>
      </c>
      <c r="I355" s="94" t="s">
        <v>55</v>
      </c>
      <c r="J355" s="88"/>
      <c r="K355" s="30"/>
      <c r="L355" s="19" t="s">
        <v>46</v>
      </c>
    </row>
    <row r="356" spans="1:12" s="68" customFormat="1" ht="15" x14ac:dyDescent="0.25">
      <c r="A356" s="46">
        <v>348</v>
      </c>
      <c r="B356" s="89">
        <v>134003</v>
      </c>
      <c r="C356" s="45">
        <v>46021</v>
      </c>
      <c r="D356" s="71" t="s">
        <v>333</v>
      </c>
      <c r="E356" s="70"/>
      <c r="F356" s="102">
        <v>7.7</v>
      </c>
      <c r="G356" s="88" t="s">
        <v>258</v>
      </c>
      <c r="H356" s="94" t="s">
        <v>417</v>
      </c>
      <c r="I356" s="94" t="s">
        <v>55</v>
      </c>
      <c r="J356" s="88"/>
      <c r="K356" s="30"/>
      <c r="L356" s="19" t="s">
        <v>46</v>
      </c>
    </row>
    <row r="357" spans="1:12" s="68" customFormat="1" ht="15" x14ac:dyDescent="0.25">
      <c r="A357" s="46">
        <v>349</v>
      </c>
      <c r="B357" s="89">
        <v>134004</v>
      </c>
      <c r="C357" s="45">
        <v>46021</v>
      </c>
      <c r="D357" s="71"/>
      <c r="E357" s="70" t="s">
        <v>333</v>
      </c>
      <c r="F357" s="102">
        <v>7.5</v>
      </c>
      <c r="G357" s="88" t="s">
        <v>336</v>
      </c>
      <c r="H357" s="94"/>
      <c r="I357" s="94" t="s">
        <v>54</v>
      </c>
      <c r="J357" s="88"/>
      <c r="K357" s="30"/>
      <c r="L357" s="19" t="s">
        <v>46</v>
      </c>
    </row>
    <row r="358" spans="1:12" s="68" customFormat="1" ht="15" x14ac:dyDescent="0.25">
      <c r="A358" s="46">
        <v>350</v>
      </c>
      <c r="B358" s="89">
        <v>134005</v>
      </c>
      <c r="C358" s="45">
        <v>46021</v>
      </c>
      <c r="D358" s="71"/>
      <c r="E358" s="70" t="s">
        <v>282</v>
      </c>
      <c r="F358" s="102">
        <v>10.5</v>
      </c>
      <c r="G358" s="88" t="s">
        <v>418</v>
      </c>
      <c r="H358" s="94"/>
      <c r="I358" s="94" t="s">
        <v>54</v>
      </c>
      <c r="J358" s="88"/>
      <c r="K358" s="30"/>
      <c r="L358" s="19" t="s">
        <v>46</v>
      </c>
    </row>
    <row r="359" spans="1:12" s="68" customFormat="1" ht="15" x14ac:dyDescent="0.25">
      <c r="A359" s="46">
        <v>351</v>
      </c>
      <c r="B359" s="89">
        <v>134007</v>
      </c>
      <c r="C359" s="45">
        <v>46021</v>
      </c>
      <c r="D359" s="71"/>
      <c r="E359" s="70" t="s">
        <v>271</v>
      </c>
      <c r="F359" s="102">
        <v>8.5</v>
      </c>
      <c r="G359" s="88" t="s">
        <v>419</v>
      </c>
      <c r="H359" s="94"/>
      <c r="I359" s="94" t="s">
        <v>54</v>
      </c>
      <c r="J359" s="88"/>
      <c r="K359" s="30"/>
      <c r="L359" s="19" t="s">
        <v>46</v>
      </c>
    </row>
    <row r="360" spans="1:12" s="68" customFormat="1" ht="15" x14ac:dyDescent="0.25">
      <c r="A360" s="46">
        <v>352</v>
      </c>
      <c r="B360" s="89">
        <v>128450</v>
      </c>
      <c r="C360" s="45">
        <v>46021</v>
      </c>
      <c r="D360" s="71" t="s">
        <v>264</v>
      </c>
      <c r="E360" s="70"/>
      <c r="F360" s="102">
        <v>8.5</v>
      </c>
      <c r="G360" s="88" t="s">
        <v>185</v>
      </c>
      <c r="H360" s="94" t="s">
        <v>420</v>
      </c>
      <c r="I360" s="94" t="s">
        <v>55</v>
      </c>
      <c r="J360" s="88"/>
      <c r="K360" s="30"/>
      <c r="L360" s="19" t="s">
        <v>46</v>
      </c>
    </row>
    <row r="361" spans="1:12" s="68" customFormat="1" ht="15" x14ac:dyDescent="0.25">
      <c r="A361" s="46">
        <v>353</v>
      </c>
      <c r="B361" s="89">
        <v>128451</v>
      </c>
      <c r="C361" s="45">
        <v>46021</v>
      </c>
      <c r="D361" s="71"/>
      <c r="E361" s="70" t="s">
        <v>264</v>
      </c>
      <c r="F361" s="102">
        <v>9</v>
      </c>
      <c r="G361" s="88" t="s">
        <v>265</v>
      </c>
      <c r="H361" s="94"/>
      <c r="I361" s="94" t="s">
        <v>54</v>
      </c>
      <c r="J361" s="88"/>
      <c r="K361" s="30"/>
      <c r="L361" s="19" t="s">
        <v>46</v>
      </c>
    </row>
    <row r="362" spans="1:12" s="68" customFormat="1" ht="15" x14ac:dyDescent="0.25">
      <c r="A362" s="46">
        <v>354</v>
      </c>
      <c r="B362" s="89">
        <v>136156</v>
      </c>
      <c r="C362" s="45">
        <v>46020</v>
      </c>
      <c r="D362" s="71" t="s">
        <v>244</v>
      </c>
      <c r="E362" s="70"/>
      <c r="F362" s="102">
        <v>9.5</v>
      </c>
      <c r="G362" s="88" t="s">
        <v>421</v>
      </c>
      <c r="H362" s="94"/>
      <c r="I362" s="94" t="s">
        <v>55</v>
      </c>
      <c r="J362" s="88"/>
      <c r="K362" s="30"/>
      <c r="L362" s="19" t="s">
        <v>46</v>
      </c>
    </row>
    <row r="363" spans="1:12" s="68" customFormat="1" ht="15" x14ac:dyDescent="0.25">
      <c r="A363" s="46">
        <v>355</v>
      </c>
      <c r="B363" s="89">
        <v>136157</v>
      </c>
      <c r="C363" s="45">
        <v>46020</v>
      </c>
      <c r="D363" s="71"/>
      <c r="E363" s="70" t="s">
        <v>249</v>
      </c>
      <c r="F363" s="102">
        <v>10.5</v>
      </c>
      <c r="G363" s="88" t="s">
        <v>422</v>
      </c>
      <c r="H363" s="94"/>
      <c r="I363" s="94" t="s">
        <v>54</v>
      </c>
      <c r="J363" s="88"/>
      <c r="K363" s="30"/>
      <c r="L363" s="19" t="s">
        <v>46</v>
      </c>
    </row>
    <row r="364" spans="1:12" s="68" customFormat="1" ht="15" x14ac:dyDescent="0.25">
      <c r="A364" s="46">
        <v>356</v>
      </c>
      <c r="B364" s="89">
        <v>136158</v>
      </c>
      <c r="C364" s="45">
        <v>46021</v>
      </c>
      <c r="D364" s="71" t="s">
        <v>244</v>
      </c>
      <c r="E364" s="70"/>
      <c r="F364" s="102">
        <v>9.5</v>
      </c>
      <c r="G364" s="88" t="s">
        <v>421</v>
      </c>
      <c r="H364" s="94" t="s">
        <v>423</v>
      </c>
      <c r="I364" s="94" t="s">
        <v>55</v>
      </c>
      <c r="J364" s="88"/>
      <c r="K364" s="30"/>
      <c r="L364" s="19" t="s">
        <v>46</v>
      </c>
    </row>
    <row r="365" spans="1:12" s="68" customFormat="1" ht="15" x14ac:dyDescent="0.25">
      <c r="A365" s="46">
        <v>357</v>
      </c>
      <c r="B365" s="89">
        <v>136159</v>
      </c>
      <c r="C365" s="45">
        <v>46021</v>
      </c>
      <c r="D365" s="71"/>
      <c r="E365" s="70" t="s">
        <v>249</v>
      </c>
      <c r="F365" s="102">
        <v>10.4</v>
      </c>
      <c r="G365" s="88" t="s">
        <v>424</v>
      </c>
      <c r="H365" s="94"/>
      <c r="I365" s="94" t="s">
        <v>54</v>
      </c>
      <c r="J365" s="88"/>
      <c r="K365" s="30"/>
      <c r="L365" s="19" t="s">
        <v>46</v>
      </c>
    </row>
    <row r="366" spans="1:12" s="68" customFormat="1" ht="15" x14ac:dyDescent="0.25">
      <c r="A366" s="46">
        <v>358</v>
      </c>
      <c r="B366" s="89">
        <v>134008</v>
      </c>
      <c r="C366" s="45">
        <v>46022</v>
      </c>
      <c r="D366" s="71" t="s">
        <v>264</v>
      </c>
      <c r="E366" s="70"/>
      <c r="F366" s="102">
        <v>14.7</v>
      </c>
      <c r="G366" s="88" t="s">
        <v>412</v>
      </c>
      <c r="H366" s="94" t="s">
        <v>420</v>
      </c>
      <c r="I366" s="94" t="s">
        <v>55</v>
      </c>
      <c r="J366" s="88"/>
      <c r="K366" s="30"/>
      <c r="L366" s="19" t="s">
        <v>46</v>
      </c>
    </row>
    <row r="367" spans="1:12" s="68" customFormat="1" ht="15" x14ac:dyDescent="0.25">
      <c r="A367" s="46">
        <v>359</v>
      </c>
      <c r="B367" s="89">
        <v>134009</v>
      </c>
      <c r="C367" s="45">
        <v>46022</v>
      </c>
      <c r="D367" s="71"/>
      <c r="E367" s="70" t="s">
        <v>264</v>
      </c>
      <c r="F367" s="102">
        <v>10</v>
      </c>
      <c r="G367" s="88" t="s">
        <v>425</v>
      </c>
      <c r="H367" s="94"/>
      <c r="I367" s="94" t="s">
        <v>54</v>
      </c>
      <c r="J367" s="88"/>
      <c r="K367" s="30"/>
      <c r="L367" s="19" t="s">
        <v>46</v>
      </c>
    </row>
    <row r="368" spans="1:12" s="68" customFormat="1" ht="15" x14ac:dyDescent="0.25">
      <c r="A368" s="46">
        <v>360</v>
      </c>
      <c r="B368" s="89">
        <v>134010</v>
      </c>
      <c r="C368" s="45">
        <v>46022</v>
      </c>
      <c r="D368" s="71" t="s">
        <v>239</v>
      </c>
      <c r="E368" s="70"/>
      <c r="F368" s="102">
        <v>9</v>
      </c>
      <c r="G368" s="88" t="s">
        <v>178</v>
      </c>
      <c r="H368" s="94" t="s">
        <v>406</v>
      </c>
      <c r="I368" s="94" t="s">
        <v>55</v>
      </c>
      <c r="J368" s="88"/>
      <c r="K368" s="30"/>
      <c r="L368" s="19" t="s">
        <v>46</v>
      </c>
    </row>
    <row r="369" spans="1:12" s="68" customFormat="1" ht="15" x14ac:dyDescent="0.25">
      <c r="A369" s="46">
        <v>361</v>
      </c>
      <c r="B369" s="89">
        <v>134011</v>
      </c>
      <c r="C369" s="45">
        <v>46022</v>
      </c>
      <c r="D369" s="71"/>
      <c r="E369" s="70" t="s">
        <v>341</v>
      </c>
      <c r="F369" s="102">
        <v>9.5</v>
      </c>
      <c r="G369" s="88" t="s">
        <v>426</v>
      </c>
      <c r="H369" s="94"/>
      <c r="I369" s="94" t="s">
        <v>54</v>
      </c>
      <c r="J369" s="88"/>
      <c r="K369" s="30"/>
      <c r="L369" s="19" t="s">
        <v>46</v>
      </c>
    </row>
    <row r="370" spans="1:12" s="68" customFormat="1" ht="15" x14ac:dyDescent="0.25">
      <c r="A370" s="46">
        <v>362</v>
      </c>
      <c r="B370" s="89">
        <v>134012</v>
      </c>
      <c r="C370" s="45">
        <v>46027</v>
      </c>
      <c r="D370" s="71" t="s">
        <v>264</v>
      </c>
      <c r="E370" s="70"/>
      <c r="F370" s="102">
        <v>8.5</v>
      </c>
      <c r="G370" s="88" t="s">
        <v>427</v>
      </c>
      <c r="H370" s="94" t="s">
        <v>428</v>
      </c>
      <c r="I370" s="94" t="s">
        <v>55</v>
      </c>
      <c r="J370" s="88"/>
      <c r="K370" s="30"/>
      <c r="L370" s="19" t="s">
        <v>46</v>
      </c>
    </row>
    <row r="371" spans="1:12" s="68" customFormat="1" ht="15" x14ac:dyDescent="0.25">
      <c r="A371" s="46">
        <v>363</v>
      </c>
      <c r="B371" s="89">
        <v>134013</v>
      </c>
      <c r="C371" s="45">
        <v>46027</v>
      </c>
      <c r="D371" s="71" t="s">
        <v>239</v>
      </c>
      <c r="E371" s="70"/>
      <c r="F371" s="102">
        <v>9</v>
      </c>
      <c r="G371" s="88" t="s">
        <v>405</v>
      </c>
      <c r="H371" s="94" t="s">
        <v>267</v>
      </c>
      <c r="I371" s="94" t="s">
        <v>55</v>
      </c>
      <c r="J371" s="88"/>
      <c r="K371" s="30"/>
      <c r="L371" s="19" t="s">
        <v>46</v>
      </c>
    </row>
    <row r="372" spans="1:12" s="68" customFormat="1" ht="15" x14ac:dyDescent="0.25">
      <c r="A372" s="46">
        <v>364</v>
      </c>
      <c r="B372" s="89">
        <v>134015</v>
      </c>
      <c r="C372" s="45">
        <v>46027</v>
      </c>
      <c r="D372" s="71" t="s">
        <v>312</v>
      </c>
      <c r="E372" s="70"/>
      <c r="F372" s="102">
        <v>11</v>
      </c>
      <c r="G372" s="88" t="s">
        <v>349</v>
      </c>
      <c r="H372" s="94" t="s">
        <v>314</v>
      </c>
      <c r="I372" s="94" t="s">
        <v>55</v>
      </c>
      <c r="J372" s="88"/>
      <c r="K372" s="30"/>
      <c r="L372" s="19" t="s">
        <v>46</v>
      </c>
    </row>
    <row r="373" spans="1:12" s="68" customFormat="1" ht="15" x14ac:dyDescent="0.25">
      <c r="A373" s="46">
        <v>365</v>
      </c>
      <c r="B373" s="89">
        <v>134016</v>
      </c>
      <c r="C373" s="45">
        <v>46027</v>
      </c>
      <c r="D373" s="71" t="s">
        <v>333</v>
      </c>
      <c r="E373" s="70"/>
      <c r="F373" s="102">
        <v>10.5</v>
      </c>
      <c r="G373" s="88" t="s">
        <v>121</v>
      </c>
      <c r="H373" s="94" t="s">
        <v>429</v>
      </c>
      <c r="I373" s="94" t="s">
        <v>55</v>
      </c>
      <c r="J373" s="88"/>
      <c r="K373" s="30"/>
      <c r="L373" s="19" t="s">
        <v>46</v>
      </c>
    </row>
    <row r="374" spans="1:12" s="68" customFormat="1" ht="15" x14ac:dyDescent="0.25">
      <c r="A374" s="46">
        <v>366</v>
      </c>
      <c r="B374" s="89">
        <v>136160</v>
      </c>
      <c r="C374" s="45">
        <v>46027</v>
      </c>
      <c r="D374" s="71"/>
      <c r="E374" s="70" t="s">
        <v>271</v>
      </c>
      <c r="F374" s="102">
        <v>10</v>
      </c>
      <c r="G374" s="88" t="s">
        <v>430</v>
      </c>
      <c r="H374" s="94"/>
      <c r="I374" s="94" t="s">
        <v>54</v>
      </c>
      <c r="J374" s="88"/>
      <c r="K374" s="30"/>
      <c r="L374" s="19" t="s">
        <v>46</v>
      </c>
    </row>
    <row r="375" spans="1:12" s="68" customFormat="1" ht="15" x14ac:dyDescent="0.25">
      <c r="A375" s="46">
        <v>367</v>
      </c>
      <c r="B375" s="89">
        <v>134018</v>
      </c>
      <c r="C375" s="45">
        <v>46028</v>
      </c>
      <c r="D375" s="71" t="s">
        <v>264</v>
      </c>
      <c r="E375" s="70"/>
      <c r="F375" s="102">
        <v>9.6999999999999993</v>
      </c>
      <c r="G375" s="88" t="s">
        <v>431</v>
      </c>
      <c r="H375" s="94" t="s">
        <v>270</v>
      </c>
      <c r="I375" s="94" t="s">
        <v>55</v>
      </c>
      <c r="J375" s="88"/>
      <c r="K375" s="30"/>
      <c r="L375" s="19" t="s">
        <v>46</v>
      </c>
    </row>
    <row r="376" spans="1:12" s="68" customFormat="1" ht="15" x14ac:dyDescent="0.25">
      <c r="A376" s="46">
        <v>368</v>
      </c>
      <c r="B376" s="89">
        <v>134019</v>
      </c>
      <c r="C376" s="45">
        <v>46028</v>
      </c>
      <c r="D376" s="71"/>
      <c r="E376" s="70" t="s">
        <v>264</v>
      </c>
      <c r="F376" s="102">
        <v>9</v>
      </c>
      <c r="G376" s="88" t="s">
        <v>305</v>
      </c>
      <c r="H376" s="94"/>
      <c r="I376" s="94" t="s">
        <v>54</v>
      </c>
      <c r="J376" s="88"/>
      <c r="K376" s="30"/>
      <c r="L376" s="19" t="s">
        <v>46</v>
      </c>
    </row>
    <row r="377" spans="1:12" s="68" customFormat="1" ht="15" x14ac:dyDescent="0.25">
      <c r="A377" s="46">
        <v>369</v>
      </c>
      <c r="B377" s="89">
        <v>134020</v>
      </c>
      <c r="C377" s="45">
        <v>46028</v>
      </c>
      <c r="D377" s="71" t="s">
        <v>239</v>
      </c>
      <c r="E377" s="70"/>
      <c r="F377" s="102">
        <v>9</v>
      </c>
      <c r="G377" s="88" t="s">
        <v>405</v>
      </c>
      <c r="H377" s="94" t="s">
        <v>432</v>
      </c>
      <c r="I377" s="94" t="s">
        <v>55</v>
      </c>
      <c r="J377" s="88"/>
      <c r="K377" s="30"/>
      <c r="L377" s="19" t="s">
        <v>46</v>
      </c>
    </row>
    <row r="378" spans="1:12" s="68" customFormat="1" ht="15" x14ac:dyDescent="0.25">
      <c r="A378" s="46">
        <v>370</v>
      </c>
      <c r="B378" s="89">
        <v>134021</v>
      </c>
      <c r="C378" s="45">
        <v>46028</v>
      </c>
      <c r="D378" s="71"/>
      <c r="E378" s="70" t="s">
        <v>382</v>
      </c>
      <c r="F378" s="102">
        <v>7.2</v>
      </c>
      <c r="G378" s="88" t="s">
        <v>329</v>
      </c>
      <c r="H378" s="94"/>
      <c r="I378" s="94" t="s">
        <v>54</v>
      </c>
      <c r="J378" s="88"/>
      <c r="K378" s="30"/>
      <c r="L378" s="19" t="s">
        <v>46</v>
      </c>
    </row>
    <row r="379" spans="1:12" s="68" customFormat="1" ht="15" x14ac:dyDescent="0.25">
      <c r="A379" s="46">
        <v>371</v>
      </c>
      <c r="B379" s="89">
        <v>134022</v>
      </c>
      <c r="C379" s="45">
        <v>46028</v>
      </c>
      <c r="D379" s="71" t="s">
        <v>312</v>
      </c>
      <c r="E379" s="70"/>
      <c r="F379" s="102">
        <v>11</v>
      </c>
      <c r="G379" s="88" t="s">
        <v>349</v>
      </c>
      <c r="H379" s="94" t="s">
        <v>433</v>
      </c>
      <c r="I379" s="94" t="s">
        <v>55</v>
      </c>
      <c r="J379" s="88"/>
      <c r="K379" s="30"/>
      <c r="L379" s="19" t="s">
        <v>46</v>
      </c>
    </row>
    <row r="380" spans="1:12" s="68" customFormat="1" ht="15" x14ac:dyDescent="0.25">
      <c r="A380" s="46">
        <v>372</v>
      </c>
      <c r="B380" s="89">
        <v>134023</v>
      </c>
      <c r="C380" s="45">
        <v>46028</v>
      </c>
      <c r="D380" s="71" t="s">
        <v>333</v>
      </c>
      <c r="E380" s="70"/>
      <c r="F380" s="102">
        <v>11</v>
      </c>
      <c r="G380" s="88" t="s">
        <v>347</v>
      </c>
      <c r="H380" s="94" t="s">
        <v>434</v>
      </c>
      <c r="I380" s="94" t="s">
        <v>55</v>
      </c>
      <c r="J380" s="88"/>
      <c r="K380" s="30"/>
      <c r="L380" s="19" t="s">
        <v>46</v>
      </c>
    </row>
    <row r="381" spans="1:12" s="68" customFormat="1" ht="15" x14ac:dyDescent="0.25">
      <c r="A381" s="46">
        <v>373</v>
      </c>
      <c r="B381" s="89">
        <v>134024</v>
      </c>
      <c r="C381" s="45">
        <v>46028</v>
      </c>
      <c r="D381" s="71"/>
      <c r="E381" s="70" t="s">
        <v>333</v>
      </c>
      <c r="F381" s="102">
        <v>14.5</v>
      </c>
      <c r="G381" s="88" t="s">
        <v>435</v>
      </c>
      <c r="H381" s="94"/>
      <c r="I381" s="94" t="s">
        <v>54</v>
      </c>
      <c r="J381" s="88"/>
      <c r="K381" s="30"/>
      <c r="L381" s="19" t="s">
        <v>46</v>
      </c>
    </row>
    <row r="382" spans="1:12" s="68" customFormat="1" ht="15" x14ac:dyDescent="0.25">
      <c r="A382" s="46">
        <v>374</v>
      </c>
      <c r="B382" s="89">
        <v>134025</v>
      </c>
      <c r="C382" s="45">
        <v>46028</v>
      </c>
      <c r="D382" s="71"/>
      <c r="E382" s="70" t="s">
        <v>282</v>
      </c>
      <c r="F382" s="102">
        <v>8.4</v>
      </c>
      <c r="G382" s="88" t="s">
        <v>436</v>
      </c>
      <c r="H382" s="94"/>
      <c r="I382" s="94" t="s">
        <v>54</v>
      </c>
      <c r="J382" s="88"/>
      <c r="K382" s="30"/>
      <c r="L382" s="19" t="s">
        <v>46</v>
      </c>
    </row>
    <row r="383" spans="1:12" s="68" customFormat="1" ht="15" x14ac:dyDescent="0.25">
      <c r="A383" s="46">
        <v>375</v>
      </c>
      <c r="B383" s="89">
        <v>134026</v>
      </c>
      <c r="C383" s="45">
        <v>46028</v>
      </c>
      <c r="D383" s="71"/>
      <c r="E383" s="70" t="s">
        <v>271</v>
      </c>
      <c r="F383" s="102">
        <v>8.5</v>
      </c>
      <c r="G383" s="88" t="s">
        <v>437</v>
      </c>
      <c r="H383" s="94"/>
      <c r="I383" s="94" t="s">
        <v>54</v>
      </c>
      <c r="J383" s="88"/>
      <c r="K383" s="30"/>
      <c r="L383" s="19" t="s">
        <v>46</v>
      </c>
    </row>
    <row r="384" spans="1:12" s="68" customFormat="1" ht="15" x14ac:dyDescent="0.25">
      <c r="A384" s="46">
        <v>376</v>
      </c>
      <c r="B384" s="89">
        <v>136162</v>
      </c>
      <c r="C384" s="45">
        <v>46028</v>
      </c>
      <c r="D384" s="71" t="s">
        <v>244</v>
      </c>
      <c r="E384" s="70"/>
      <c r="F384" s="102">
        <v>9</v>
      </c>
      <c r="G384" s="88" t="s">
        <v>305</v>
      </c>
      <c r="H384" s="94" t="s">
        <v>278</v>
      </c>
      <c r="I384" s="94" t="s">
        <v>55</v>
      </c>
      <c r="J384" s="88"/>
      <c r="K384" s="30"/>
      <c r="L384" s="19" t="s">
        <v>46</v>
      </c>
    </row>
    <row r="385" spans="1:12" s="68" customFormat="1" ht="15" x14ac:dyDescent="0.25">
      <c r="A385" s="46">
        <v>377</v>
      </c>
      <c r="B385" s="89">
        <v>136161</v>
      </c>
      <c r="C385" s="45">
        <v>46027</v>
      </c>
      <c r="D385" s="71" t="s">
        <v>244</v>
      </c>
      <c r="E385" s="70"/>
      <c r="F385" s="102">
        <v>9</v>
      </c>
      <c r="G385" s="88" t="s">
        <v>305</v>
      </c>
      <c r="H385" s="94" t="s">
        <v>438</v>
      </c>
      <c r="I385" s="94" t="s">
        <v>55</v>
      </c>
      <c r="J385" s="88"/>
      <c r="K385" s="30"/>
      <c r="L385" s="19" t="s">
        <v>46</v>
      </c>
    </row>
    <row r="386" spans="1:12" s="68" customFormat="1" ht="15" x14ac:dyDescent="0.25">
      <c r="A386" s="46">
        <v>378</v>
      </c>
      <c r="B386" s="89">
        <v>134027</v>
      </c>
      <c r="C386" s="45">
        <v>46029</v>
      </c>
      <c r="D386" s="71" t="s">
        <v>239</v>
      </c>
      <c r="E386" s="70"/>
      <c r="F386" s="102">
        <v>8</v>
      </c>
      <c r="G386" s="88" t="s">
        <v>400</v>
      </c>
      <c r="H386" s="94" t="s">
        <v>373</v>
      </c>
      <c r="I386" s="94" t="s">
        <v>55</v>
      </c>
      <c r="J386" s="88"/>
      <c r="K386" s="30"/>
      <c r="L386" s="19" t="s">
        <v>46</v>
      </c>
    </row>
    <row r="387" spans="1:12" s="68" customFormat="1" ht="15" x14ac:dyDescent="0.25">
      <c r="A387" s="46">
        <v>379</v>
      </c>
      <c r="B387" s="89">
        <v>134028</v>
      </c>
      <c r="C387" s="45">
        <v>46029</v>
      </c>
      <c r="D387" s="71" t="s">
        <v>312</v>
      </c>
      <c r="E387" s="70"/>
      <c r="F387" s="102">
        <v>11</v>
      </c>
      <c r="G387" s="88" t="s">
        <v>439</v>
      </c>
      <c r="H387" s="94" t="s">
        <v>343</v>
      </c>
      <c r="I387" s="94" t="s">
        <v>55</v>
      </c>
      <c r="J387" s="88"/>
      <c r="K387" s="30"/>
      <c r="L387" s="19" t="s">
        <v>46</v>
      </c>
    </row>
    <row r="388" spans="1:12" s="68" customFormat="1" ht="15" x14ac:dyDescent="0.25">
      <c r="A388" s="46">
        <v>380</v>
      </c>
      <c r="B388" s="89">
        <v>134029</v>
      </c>
      <c r="C388" s="45">
        <v>46029</v>
      </c>
      <c r="D388" s="71" t="s">
        <v>333</v>
      </c>
      <c r="E388" s="70"/>
      <c r="F388" s="102">
        <v>11</v>
      </c>
      <c r="G388" s="88" t="s">
        <v>347</v>
      </c>
      <c r="H388" s="94" t="s">
        <v>434</v>
      </c>
      <c r="I388" s="94" t="s">
        <v>55</v>
      </c>
      <c r="J388" s="88"/>
      <c r="K388" s="30"/>
      <c r="L388" s="19" t="s">
        <v>46</v>
      </c>
    </row>
    <row r="389" spans="1:12" s="68" customFormat="1" ht="15" x14ac:dyDescent="0.25">
      <c r="A389" s="46">
        <v>381</v>
      </c>
      <c r="B389" s="89">
        <v>134030</v>
      </c>
      <c r="C389" s="45">
        <v>46029</v>
      </c>
      <c r="D389" s="71"/>
      <c r="E389" s="70" t="s">
        <v>333</v>
      </c>
      <c r="F389" s="102">
        <v>9.6999999999999993</v>
      </c>
      <c r="G389" s="88" t="s">
        <v>440</v>
      </c>
      <c r="H389" s="94"/>
      <c r="I389" s="94" t="s">
        <v>54</v>
      </c>
      <c r="J389" s="88"/>
      <c r="K389" s="30"/>
      <c r="L389" s="19" t="s">
        <v>46</v>
      </c>
    </row>
    <row r="390" spans="1:12" s="68" customFormat="1" ht="15" x14ac:dyDescent="0.25">
      <c r="A390" s="46">
        <v>382</v>
      </c>
      <c r="B390" s="89">
        <v>134032</v>
      </c>
      <c r="C390" s="45">
        <v>46029</v>
      </c>
      <c r="D390" s="71"/>
      <c r="E390" s="70" t="s">
        <v>271</v>
      </c>
      <c r="F390" s="102">
        <v>8.6999999999999993</v>
      </c>
      <c r="G390" s="88" t="s">
        <v>441</v>
      </c>
      <c r="H390" s="94"/>
      <c r="I390" s="94" t="s">
        <v>54</v>
      </c>
      <c r="J390" s="88"/>
      <c r="K390" s="30"/>
      <c r="L390" s="19" t="s">
        <v>46</v>
      </c>
    </row>
    <row r="391" spans="1:12" s="68" customFormat="1" ht="15" x14ac:dyDescent="0.25">
      <c r="A391" s="46">
        <v>383</v>
      </c>
      <c r="B391" s="89">
        <v>136163</v>
      </c>
      <c r="C391" s="45">
        <v>46029</v>
      </c>
      <c r="D391" s="71" t="s">
        <v>244</v>
      </c>
      <c r="E391" s="70"/>
      <c r="F391" s="102">
        <v>9</v>
      </c>
      <c r="G391" s="88" t="s">
        <v>305</v>
      </c>
      <c r="H391" s="94" t="s">
        <v>317</v>
      </c>
      <c r="I391" s="94" t="s">
        <v>55</v>
      </c>
      <c r="J391" s="88"/>
      <c r="K391" s="30"/>
      <c r="L391" s="19" t="s">
        <v>46</v>
      </c>
    </row>
    <row r="392" spans="1:12" s="68" customFormat="1" ht="15" x14ac:dyDescent="0.25">
      <c r="A392" s="46">
        <v>384</v>
      </c>
      <c r="B392" s="89">
        <v>128454</v>
      </c>
      <c r="C392" s="45">
        <v>46030</v>
      </c>
      <c r="D392" s="71"/>
      <c r="E392" s="70" t="s">
        <v>255</v>
      </c>
      <c r="F392" s="102">
        <v>6.5</v>
      </c>
      <c r="G392" s="88" t="s">
        <v>276</v>
      </c>
      <c r="H392" s="94"/>
      <c r="I392" s="94" t="s">
        <v>54</v>
      </c>
      <c r="J392" s="88"/>
      <c r="K392" s="30"/>
      <c r="L392" s="19" t="s">
        <v>46</v>
      </c>
    </row>
    <row r="393" spans="1:12" s="68" customFormat="1" ht="15" x14ac:dyDescent="0.25">
      <c r="A393" s="46">
        <v>385</v>
      </c>
      <c r="B393" s="89">
        <v>128453</v>
      </c>
      <c r="C393" s="45">
        <v>46030</v>
      </c>
      <c r="D393" s="71"/>
      <c r="E393" s="70" t="s">
        <v>253</v>
      </c>
      <c r="F393" s="102">
        <v>10.9</v>
      </c>
      <c r="G393" s="88" t="s">
        <v>442</v>
      </c>
      <c r="H393" s="94"/>
      <c r="I393" s="94" t="s">
        <v>54</v>
      </c>
      <c r="J393" s="88"/>
      <c r="K393" s="30"/>
      <c r="L393" s="19" t="s">
        <v>46</v>
      </c>
    </row>
    <row r="394" spans="1:12" s="68" customFormat="1" ht="15" x14ac:dyDescent="0.25">
      <c r="A394" s="46">
        <v>386</v>
      </c>
      <c r="B394" s="89">
        <v>134033</v>
      </c>
      <c r="C394" s="45">
        <v>46030</v>
      </c>
      <c r="D394" s="71" t="s">
        <v>264</v>
      </c>
      <c r="E394" s="70"/>
      <c r="F394" s="102">
        <v>9.6</v>
      </c>
      <c r="G394" s="88" t="s">
        <v>443</v>
      </c>
      <c r="H394" s="94" t="s">
        <v>444</v>
      </c>
      <c r="I394" s="94" t="s">
        <v>55</v>
      </c>
      <c r="J394" s="88"/>
      <c r="K394" s="30"/>
      <c r="L394" s="19" t="s">
        <v>46</v>
      </c>
    </row>
    <row r="395" spans="1:12" s="68" customFormat="1" ht="15" x14ac:dyDescent="0.25">
      <c r="A395" s="46">
        <v>387</v>
      </c>
      <c r="B395" s="89">
        <v>134034</v>
      </c>
      <c r="C395" s="45">
        <v>46030</v>
      </c>
      <c r="D395" s="71"/>
      <c r="E395" s="70" t="s">
        <v>264</v>
      </c>
      <c r="F395" s="102">
        <v>9</v>
      </c>
      <c r="G395" s="88" t="s">
        <v>305</v>
      </c>
      <c r="H395" s="94"/>
      <c r="I395" s="94" t="s">
        <v>54</v>
      </c>
      <c r="J395" s="88"/>
      <c r="K395" s="30"/>
      <c r="L395" s="19" t="s">
        <v>46</v>
      </c>
    </row>
    <row r="396" spans="1:12" s="68" customFormat="1" ht="15" x14ac:dyDescent="0.25">
      <c r="A396" s="46">
        <v>388</v>
      </c>
      <c r="B396" s="89">
        <v>134035</v>
      </c>
      <c r="C396" s="45">
        <v>46030</v>
      </c>
      <c r="D396" s="71" t="s">
        <v>239</v>
      </c>
      <c r="E396" s="70"/>
      <c r="F396" s="102">
        <v>9.3000000000000007</v>
      </c>
      <c r="G396" s="88" t="s">
        <v>405</v>
      </c>
      <c r="H396" s="94" t="s">
        <v>240</v>
      </c>
      <c r="I396" s="94" t="s">
        <v>55</v>
      </c>
      <c r="J396" s="88"/>
      <c r="K396" s="30"/>
      <c r="L396" s="19" t="s">
        <v>46</v>
      </c>
    </row>
    <row r="397" spans="1:12" s="68" customFormat="1" ht="15" x14ac:dyDescent="0.25">
      <c r="A397" s="46">
        <v>389</v>
      </c>
      <c r="B397" s="89">
        <v>134038</v>
      </c>
      <c r="C397" s="45">
        <v>46030</v>
      </c>
      <c r="D397" s="71" t="s">
        <v>312</v>
      </c>
      <c r="E397" s="70"/>
      <c r="F397" s="102">
        <v>12.8</v>
      </c>
      <c r="G397" s="88" t="s">
        <v>445</v>
      </c>
      <c r="H397" s="94" t="s">
        <v>352</v>
      </c>
      <c r="I397" s="94" t="s">
        <v>55</v>
      </c>
      <c r="J397" s="88"/>
      <c r="K397" s="30"/>
      <c r="L397" s="19" t="s">
        <v>46</v>
      </c>
    </row>
    <row r="398" spans="1:12" s="68" customFormat="1" ht="15" x14ac:dyDescent="0.25">
      <c r="A398" s="46">
        <v>390</v>
      </c>
      <c r="B398" s="89">
        <v>134039</v>
      </c>
      <c r="C398" s="45">
        <v>46030</v>
      </c>
      <c r="D398" s="71" t="s">
        <v>333</v>
      </c>
      <c r="E398" s="70"/>
      <c r="F398" s="102">
        <v>11</v>
      </c>
      <c r="G398" s="88" t="s">
        <v>347</v>
      </c>
      <c r="H398" s="94" t="s">
        <v>429</v>
      </c>
      <c r="I398" s="94" t="s">
        <v>55</v>
      </c>
      <c r="J398" s="88"/>
      <c r="K398" s="30"/>
      <c r="L398" s="19" t="s">
        <v>46</v>
      </c>
    </row>
    <row r="399" spans="1:12" s="68" customFormat="1" ht="15" x14ac:dyDescent="0.25">
      <c r="A399" s="46">
        <v>391</v>
      </c>
      <c r="B399" s="89">
        <v>136165</v>
      </c>
      <c r="C399" s="45">
        <v>46030</v>
      </c>
      <c r="D399" s="71"/>
      <c r="E399" s="70" t="s">
        <v>333</v>
      </c>
      <c r="F399" s="102">
        <v>11</v>
      </c>
      <c r="G399" s="88" t="s">
        <v>383</v>
      </c>
      <c r="H399" s="94"/>
      <c r="I399" s="94" t="s">
        <v>54</v>
      </c>
      <c r="J399" s="88"/>
      <c r="K399" s="30"/>
      <c r="L399" s="19" t="s">
        <v>46</v>
      </c>
    </row>
    <row r="400" spans="1:12" s="68" customFormat="1" ht="15" x14ac:dyDescent="0.25">
      <c r="A400" s="46">
        <v>392</v>
      </c>
      <c r="B400" s="89">
        <v>136164</v>
      </c>
      <c r="C400" s="45">
        <v>46029</v>
      </c>
      <c r="D400" s="71"/>
      <c r="E400" s="70" t="s">
        <v>249</v>
      </c>
      <c r="F400" s="102">
        <v>10.4</v>
      </c>
      <c r="G400" s="88" t="s">
        <v>446</v>
      </c>
      <c r="H400" s="94"/>
      <c r="I400" s="94" t="s">
        <v>54</v>
      </c>
      <c r="J400" s="88"/>
      <c r="K400" s="30"/>
      <c r="L400" s="19" t="s">
        <v>46</v>
      </c>
    </row>
    <row r="401" spans="1:12" s="68" customFormat="1" ht="15" x14ac:dyDescent="0.25">
      <c r="A401" s="46">
        <v>393</v>
      </c>
      <c r="B401" s="89">
        <v>134041</v>
      </c>
      <c r="C401" s="45">
        <v>46031</v>
      </c>
      <c r="D401" s="71" t="s">
        <v>264</v>
      </c>
      <c r="E401" s="70"/>
      <c r="F401" s="102">
        <v>9.6999999999999993</v>
      </c>
      <c r="G401" s="88" t="s">
        <v>443</v>
      </c>
      <c r="H401" s="94" t="s">
        <v>404</v>
      </c>
      <c r="I401" s="94" t="s">
        <v>55</v>
      </c>
      <c r="J401" s="88"/>
      <c r="K401" s="30"/>
      <c r="L401" s="19" t="s">
        <v>46</v>
      </c>
    </row>
    <row r="402" spans="1:12" s="68" customFormat="1" ht="15" x14ac:dyDescent="0.25">
      <c r="A402" s="46">
        <v>394</v>
      </c>
      <c r="B402" s="89">
        <v>136166</v>
      </c>
      <c r="C402" s="45">
        <v>46030</v>
      </c>
      <c r="D402" s="71"/>
      <c r="E402" s="70" t="s">
        <v>282</v>
      </c>
      <c r="F402" s="102">
        <v>8</v>
      </c>
      <c r="G402" s="88" t="s">
        <v>400</v>
      </c>
      <c r="H402" s="94"/>
      <c r="I402" s="94" t="s">
        <v>54</v>
      </c>
      <c r="J402" s="88"/>
      <c r="K402" s="30"/>
      <c r="L402" s="19" t="s">
        <v>46</v>
      </c>
    </row>
    <row r="403" spans="1:12" s="68" customFormat="1" ht="15" x14ac:dyDescent="0.25">
      <c r="A403" s="46">
        <v>395</v>
      </c>
      <c r="B403" s="89">
        <v>134042</v>
      </c>
      <c r="C403" s="45">
        <v>46031</v>
      </c>
      <c r="D403" s="71"/>
      <c r="E403" s="70" t="s">
        <v>264</v>
      </c>
      <c r="F403" s="102">
        <v>9</v>
      </c>
      <c r="G403" s="88" t="s">
        <v>305</v>
      </c>
      <c r="H403" s="94"/>
      <c r="I403" s="94" t="s">
        <v>54</v>
      </c>
      <c r="J403" s="88"/>
      <c r="K403" s="30"/>
      <c r="L403" s="19" t="s">
        <v>46</v>
      </c>
    </row>
    <row r="404" spans="1:12" s="68" customFormat="1" ht="15" x14ac:dyDescent="0.25">
      <c r="A404" s="46">
        <v>396</v>
      </c>
      <c r="B404" s="89">
        <v>134043</v>
      </c>
      <c r="C404" s="45">
        <v>46031</v>
      </c>
      <c r="D404" s="71" t="s">
        <v>239</v>
      </c>
      <c r="E404" s="70"/>
      <c r="F404" s="102">
        <v>9</v>
      </c>
      <c r="G404" s="88" t="s">
        <v>405</v>
      </c>
      <c r="H404" s="94" t="s">
        <v>240</v>
      </c>
      <c r="I404" s="94" t="s">
        <v>55</v>
      </c>
      <c r="J404" s="88"/>
      <c r="K404" s="30"/>
      <c r="L404" s="19" t="s">
        <v>46</v>
      </c>
    </row>
    <row r="405" spans="1:12" s="68" customFormat="1" ht="15" x14ac:dyDescent="0.25">
      <c r="A405" s="46">
        <v>397</v>
      </c>
      <c r="B405" s="89">
        <v>134044</v>
      </c>
      <c r="C405" s="45">
        <v>46031</v>
      </c>
      <c r="D405" s="71" t="s">
        <v>341</v>
      </c>
      <c r="E405" s="70"/>
      <c r="F405" s="102">
        <v>11</v>
      </c>
      <c r="G405" s="88" t="s">
        <v>349</v>
      </c>
      <c r="H405" s="94" t="s">
        <v>398</v>
      </c>
      <c r="I405" s="94" t="s">
        <v>55</v>
      </c>
      <c r="J405" s="88"/>
      <c r="K405" s="30"/>
      <c r="L405" s="19" t="s">
        <v>46</v>
      </c>
    </row>
    <row r="406" spans="1:12" s="68" customFormat="1" ht="15" x14ac:dyDescent="0.25">
      <c r="A406" s="46">
        <v>398</v>
      </c>
      <c r="B406" s="89">
        <v>134045</v>
      </c>
      <c r="C406" s="45">
        <v>46031</v>
      </c>
      <c r="D406" s="71"/>
      <c r="E406" s="70" t="s">
        <v>312</v>
      </c>
      <c r="F406" s="102">
        <v>8.5</v>
      </c>
      <c r="G406" s="88" t="s">
        <v>427</v>
      </c>
      <c r="H406" s="94"/>
      <c r="I406" s="94" t="s">
        <v>54</v>
      </c>
      <c r="J406" s="88"/>
      <c r="K406" s="30"/>
      <c r="L406" s="19" t="s">
        <v>46</v>
      </c>
    </row>
    <row r="407" spans="1:12" s="68" customFormat="1" ht="15" x14ac:dyDescent="0.25">
      <c r="A407" s="46">
        <v>399</v>
      </c>
      <c r="B407" s="89">
        <v>134046</v>
      </c>
      <c r="C407" s="45">
        <v>46031</v>
      </c>
      <c r="D407" s="71"/>
      <c r="E407" s="70" t="s">
        <v>333</v>
      </c>
      <c r="F407" s="102">
        <v>8</v>
      </c>
      <c r="G407" s="88" t="s">
        <v>400</v>
      </c>
      <c r="H407" s="94"/>
      <c r="I407" s="94" t="s">
        <v>54</v>
      </c>
      <c r="J407" s="88"/>
      <c r="K407" s="30"/>
      <c r="L407" s="19" t="s">
        <v>46</v>
      </c>
    </row>
    <row r="408" spans="1:12" s="68" customFormat="1" ht="15" x14ac:dyDescent="0.25">
      <c r="A408" s="46">
        <v>400</v>
      </c>
      <c r="B408" s="89">
        <v>134047</v>
      </c>
      <c r="C408" s="45">
        <v>46031</v>
      </c>
      <c r="D408" s="71"/>
      <c r="E408" s="70" t="s">
        <v>282</v>
      </c>
      <c r="F408" s="102">
        <v>10.3</v>
      </c>
      <c r="G408" s="88" t="s">
        <v>447</v>
      </c>
      <c r="H408" s="94"/>
      <c r="I408" s="94" t="s">
        <v>54</v>
      </c>
      <c r="J408" s="88"/>
      <c r="K408" s="30"/>
      <c r="L408" s="19" t="s">
        <v>46</v>
      </c>
    </row>
    <row r="409" spans="1:12" s="68" customFormat="1" ht="15" x14ac:dyDescent="0.25">
      <c r="A409" s="46">
        <v>401</v>
      </c>
      <c r="B409" s="89">
        <v>134167</v>
      </c>
      <c r="C409" s="45">
        <v>46031</v>
      </c>
      <c r="D409" s="71"/>
      <c r="E409" s="70" t="s">
        <v>282</v>
      </c>
      <c r="F409" s="102">
        <v>10</v>
      </c>
      <c r="G409" s="88" t="s">
        <v>448</v>
      </c>
      <c r="H409" s="94"/>
      <c r="I409" s="94" t="s">
        <v>54</v>
      </c>
      <c r="J409" s="88"/>
      <c r="K409" s="30"/>
      <c r="L409" s="19" t="s">
        <v>46</v>
      </c>
    </row>
    <row r="410" spans="1:12" s="68" customFormat="1" ht="15" x14ac:dyDescent="0.25">
      <c r="A410" s="46">
        <v>402</v>
      </c>
      <c r="B410" s="89">
        <v>128455</v>
      </c>
      <c r="C410" s="45">
        <v>46032</v>
      </c>
      <c r="D410" s="71"/>
      <c r="E410" s="70" t="s">
        <v>251</v>
      </c>
      <c r="F410" s="102">
        <v>12.6</v>
      </c>
      <c r="G410" s="88" t="s">
        <v>449</v>
      </c>
      <c r="H410" s="94"/>
      <c r="I410" s="94" t="s">
        <v>54</v>
      </c>
      <c r="J410" s="88"/>
      <c r="K410" s="30"/>
      <c r="L410" s="19" t="s">
        <v>46</v>
      </c>
    </row>
    <row r="411" spans="1:12" s="68" customFormat="1" ht="15" x14ac:dyDescent="0.25">
      <c r="A411" s="46">
        <v>403</v>
      </c>
      <c r="B411" s="89">
        <v>128456</v>
      </c>
      <c r="C411" s="45">
        <v>46032</v>
      </c>
      <c r="D411" s="71"/>
      <c r="E411" s="70" t="s">
        <v>253</v>
      </c>
      <c r="F411" s="102">
        <v>10</v>
      </c>
      <c r="G411" s="88" t="s">
        <v>450</v>
      </c>
      <c r="H411" s="94"/>
      <c r="I411" s="94" t="s">
        <v>54</v>
      </c>
      <c r="J411" s="88"/>
      <c r="K411" s="30"/>
      <c r="L411" s="19" t="s">
        <v>46</v>
      </c>
    </row>
    <row r="412" spans="1:12" s="68" customFormat="1" ht="15" x14ac:dyDescent="0.25">
      <c r="A412" s="46">
        <v>404</v>
      </c>
      <c r="B412" s="89">
        <v>134048</v>
      </c>
      <c r="C412" s="45">
        <v>46032</v>
      </c>
      <c r="D412" s="71" t="s">
        <v>264</v>
      </c>
      <c r="E412" s="70"/>
      <c r="F412" s="102">
        <v>10</v>
      </c>
      <c r="G412" s="88" t="s">
        <v>451</v>
      </c>
      <c r="H412" s="94"/>
      <c r="I412" s="94" t="s">
        <v>55</v>
      </c>
      <c r="J412" s="88"/>
      <c r="K412" s="30"/>
      <c r="L412" s="19" t="s">
        <v>46</v>
      </c>
    </row>
    <row r="413" spans="1:12" s="68" customFormat="1" ht="15" x14ac:dyDescent="0.25">
      <c r="A413" s="46">
        <v>405</v>
      </c>
      <c r="B413" s="89">
        <v>136168</v>
      </c>
      <c r="C413" s="45">
        <v>46032</v>
      </c>
      <c r="D413" s="71"/>
      <c r="E413" s="70" t="s">
        <v>301</v>
      </c>
      <c r="F413" s="102">
        <v>10</v>
      </c>
      <c r="G413" s="88" t="s">
        <v>451</v>
      </c>
      <c r="H413" s="94"/>
      <c r="I413" s="94" t="s">
        <v>54</v>
      </c>
      <c r="J413" s="88"/>
      <c r="K413" s="30"/>
      <c r="L413" s="19" t="s">
        <v>46</v>
      </c>
    </row>
    <row r="414" spans="1:12" s="68" customFormat="1" ht="15" x14ac:dyDescent="0.25">
      <c r="A414" s="46">
        <v>406</v>
      </c>
      <c r="B414" s="89">
        <v>128457</v>
      </c>
      <c r="C414" s="45">
        <v>46034</v>
      </c>
      <c r="D414" s="71" t="s">
        <v>452</v>
      </c>
      <c r="E414" s="70"/>
      <c r="F414" s="102">
        <v>10</v>
      </c>
      <c r="G414" s="88" t="s">
        <v>453</v>
      </c>
      <c r="H414" s="94" t="s">
        <v>452</v>
      </c>
      <c r="I414" s="94" t="s">
        <v>55</v>
      </c>
      <c r="J414" s="88"/>
      <c r="K414" s="30"/>
      <c r="L414" s="19" t="s">
        <v>46</v>
      </c>
    </row>
    <row r="415" spans="1:12" s="68" customFormat="1" ht="15" x14ac:dyDescent="0.25">
      <c r="A415" s="46">
        <v>407</v>
      </c>
      <c r="B415" s="89">
        <v>136169</v>
      </c>
      <c r="C415" s="45">
        <v>46034</v>
      </c>
      <c r="D415" s="71" t="s">
        <v>264</v>
      </c>
      <c r="E415" s="70"/>
      <c r="F415" s="102">
        <v>9.6</v>
      </c>
      <c r="G415" s="88" t="s">
        <v>454</v>
      </c>
      <c r="H415" s="94" t="s">
        <v>455</v>
      </c>
      <c r="I415" s="94" t="s">
        <v>55</v>
      </c>
      <c r="J415" s="88"/>
      <c r="K415" s="30"/>
      <c r="L415" s="19" t="s">
        <v>46</v>
      </c>
    </row>
    <row r="416" spans="1:12" s="68" customFormat="1" ht="15" x14ac:dyDescent="0.25">
      <c r="A416" s="46">
        <v>408</v>
      </c>
      <c r="B416" s="89">
        <v>136170</v>
      </c>
      <c r="C416" s="45">
        <v>46034</v>
      </c>
      <c r="D416" s="71" t="s">
        <v>312</v>
      </c>
      <c r="E416" s="70"/>
      <c r="F416" s="102">
        <v>8.9</v>
      </c>
      <c r="G416" s="88" t="s">
        <v>456</v>
      </c>
      <c r="H416" s="94"/>
      <c r="I416" s="94" t="s">
        <v>55</v>
      </c>
      <c r="J416" s="88"/>
      <c r="K416" s="30"/>
      <c r="L416" s="19" t="s">
        <v>46</v>
      </c>
    </row>
    <row r="417" spans="1:12" s="68" customFormat="1" ht="15" x14ac:dyDescent="0.25">
      <c r="A417" s="46">
        <v>409</v>
      </c>
      <c r="B417" s="89">
        <v>136171</v>
      </c>
      <c r="C417" s="45">
        <v>46034</v>
      </c>
      <c r="D417" s="71"/>
      <c r="E417" s="70" t="s">
        <v>312</v>
      </c>
      <c r="F417" s="102">
        <v>9</v>
      </c>
      <c r="G417" s="88" t="s">
        <v>457</v>
      </c>
      <c r="H417" s="94"/>
      <c r="I417" s="94" t="s">
        <v>54</v>
      </c>
      <c r="J417" s="88"/>
      <c r="K417" s="30"/>
      <c r="L417" s="19" t="s">
        <v>46</v>
      </c>
    </row>
    <row r="418" spans="1:12" s="68" customFormat="1" ht="15" x14ac:dyDescent="0.25">
      <c r="A418" s="46">
        <v>410</v>
      </c>
      <c r="B418" s="89">
        <v>136172</v>
      </c>
      <c r="C418" s="45">
        <v>46034</v>
      </c>
      <c r="D418" s="71" t="s">
        <v>333</v>
      </c>
      <c r="E418" s="70"/>
      <c r="F418" s="102">
        <v>7.5</v>
      </c>
      <c r="G418" s="88" t="s">
        <v>258</v>
      </c>
      <c r="H418" s="94" t="s">
        <v>458</v>
      </c>
      <c r="I418" s="94" t="s">
        <v>55</v>
      </c>
      <c r="J418" s="88"/>
      <c r="K418" s="30"/>
      <c r="L418" s="19" t="s">
        <v>46</v>
      </c>
    </row>
    <row r="419" spans="1:12" s="68" customFormat="1" ht="15" x14ac:dyDescent="0.25">
      <c r="A419" s="46">
        <v>411</v>
      </c>
      <c r="B419" s="89">
        <v>136173</v>
      </c>
      <c r="C419" s="45">
        <v>46034</v>
      </c>
      <c r="D419" s="71"/>
      <c r="E419" s="70" t="s">
        <v>333</v>
      </c>
      <c r="F419" s="102">
        <v>7.5</v>
      </c>
      <c r="G419" s="88" t="s">
        <v>336</v>
      </c>
      <c r="H419" s="94"/>
      <c r="I419" s="94" t="s">
        <v>54</v>
      </c>
      <c r="J419" s="88"/>
      <c r="K419" s="30"/>
      <c r="L419" s="19" t="s">
        <v>46</v>
      </c>
    </row>
    <row r="420" spans="1:12" s="68" customFormat="1" ht="15" x14ac:dyDescent="0.25">
      <c r="A420" s="46">
        <v>412</v>
      </c>
      <c r="B420" s="89">
        <v>136174</v>
      </c>
      <c r="C420" s="45">
        <v>46034</v>
      </c>
      <c r="D420" s="71"/>
      <c r="E420" s="70" t="s">
        <v>271</v>
      </c>
      <c r="F420" s="102">
        <v>10</v>
      </c>
      <c r="G420" s="88" t="s">
        <v>459</v>
      </c>
      <c r="H420" s="94"/>
      <c r="I420" s="94" t="s">
        <v>54</v>
      </c>
      <c r="J420" s="88"/>
      <c r="K420" s="30"/>
      <c r="L420" s="19" t="s">
        <v>46</v>
      </c>
    </row>
    <row r="421" spans="1:12" s="68" customFormat="1" ht="15" x14ac:dyDescent="0.25">
      <c r="A421" s="46">
        <v>413</v>
      </c>
      <c r="B421" s="89">
        <v>136175</v>
      </c>
      <c r="C421" s="45">
        <v>46035</v>
      </c>
      <c r="D421" s="71" t="s">
        <v>239</v>
      </c>
      <c r="E421" s="70"/>
      <c r="F421" s="102">
        <v>8.9</v>
      </c>
      <c r="G421" s="88" t="s">
        <v>405</v>
      </c>
      <c r="H421" s="94" t="s">
        <v>460</v>
      </c>
      <c r="I421" s="94" t="s">
        <v>55</v>
      </c>
      <c r="J421" s="88"/>
      <c r="K421" s="30"/>
      <c r="L421" s="19" t="s">
        <v>46</v>
      </c>
    </row>
    <row r="422" spans="1:12" s="68" customFormat="1" ht="15" x14ac:dyDescent="0.25">
      <c r="A422" s="46">
        <v>414</v>
      </c>
      <c r="B422" s="89">
        <v>136176</v>
      </c>
      <c r="C422" s="45">
        <v>46035</v>
      </c>
      <c r="D422" s="71" t="s">
        <v>382</v>
      </c>
      <c r="E422" s="70"/>
      <c r="F422" s="102">
        <v>8.3000000000000007</v>
      </c>
      <c r="G422" s="88" t="s">
        <v>390</v>
      </c>
      <c r="H422" s="94" t="s">
        <v>461</v>
      </c>
      <c r="I422" s="94" t="s">
        <v>55</v>
      </c>
      <c r="J422" s="88"/>
      <c r="K422" s="30"/>
      <c r="L422" s="19" t="s">
        <v>46</v>
      </c>
    </row>
    <row r="423" spans="1:12" s="68" customFormat="1" ht="15" x14ac:dyDescent="0.25">
      <c r="A423" s="46">
        <v>415</v>
      </c>
      <c r="B423" s="89">
        <v>136178</v>
      </c>
      <c r="C423" s="45">
        <v>46035</v>
      </c>
      <c r="D423" s="71" t="s">
        <v>333</v>
      </c>
      <c r="E423" s="70"/>
      <c r="F423" s="102">
        <v>7.5</v>
      </c>
      <c r="G423" s="88" t="s">
        <v>258</v>
      </c>
      <c r="H423" s="94" t="s">
        <v>429</v>
      </c>
      <c r="I423" s="94" t="s">
        <v>55</v>
      </c>
      <c r="J423" s="88"/>
      <c r="K423" s="30"/>
      <c r="L423" s="19" t="s">
        <v>46</v>
      </c>
    </row>
    <row r="424" spans="1:12" s="68" customFormat="1" ht="15" x14ac:dyDescent="0.25">
      <c r="A424" s="46">
        <v>416</v>
      </c>
      <c r="B424" s="89">
        <v>136179</v>
      </c>
      <c r="C424" s="45">
        <v>46035</v>
      </c>
      <c r="D424" s="71"/>
      <c r="E424" s="70"/>
      <c r="F424" s="102">
        <v>14.5</v>
      </c>
      <c r="G424" s="88" t="s">
        <v>462</v>
      </c>
      <c r="H424" s="94"/>
      <c r="I424" s="94" t="s">
        <v>54</v>
      </c>
      <c r="J424" s="88"/>
      <c r="K424" s="30"/>
      <c r="L424" s="19" t="s">
        <v>46</v>
      </c>
    </row>
    <row r="425" spans="1:12" s="68" customFormat="1" ht="15" x14ac:dyDescent="0.25">
      <c r="A425" s="46">
        <v>417</v>
      </c>
      <c r="B425" s="89">
        <v>136180</v>
      </c>
      <c r="C425" s="45">
        <v>46035</v>
      </c>
      <c r="D425" s="71"/>
      <c r="E425" s="70" t="s">
        <v>282</v>
      </c>
      <c r="F425" s="102">
        <v>9.3000000000000007</v>
      </c>
      <c r="G425" s="88" t="s">
        <v>178</v>
      </c>
      <c r="H425" s="94"/>
      <c r="I425" s="94" t="s">
        <v>54</v>
      </c>
      <c r="J425" s="88"/>
      <c r="K425" s="30"/>
      <c r="L425" s="19" t="s">
        <v>46</v>
      </c>
    </row>
    <row r="426" spans="1:12" s="68" customFormat="1" ht="15" x14ac:dyDescent="0.25">
      <c r="A426" s="46">
        <v>418</v>
      </c>
      <c r="B426" s="89">
        <v>136181</v>
      </c>
      <c r="C426" s="45">
        <v>46035</v>
      </c>
      <c r="D426" s="71"/>
      <c r="E426" s="70" t="s">
        <v>271</v>
      </c>
      <c r="F426" s="102">
        <v>10.5</v>
      </c>
      <c r="G426" s="88" t="s">
        <v>463</v>
      </c>
      <c r="H426" s="94"/>
      <c r="I426" s="94" t="s">
        <v>54</v>
      </c>
      <c r="J426" s="88"/>
      <c r="K426" s="30"/>
      <c r="L426" s="19" t="s">
        <v>46</v>
      </c>
    </row>
    <row r="427" spans="1:12" s="68" customFormat="1" ht="15" x14ac:dyDescent="0.25">
      <c r="A427" s="46">
        <v>419</v>
      </c>
      <c r="B427" s="89">
        <v>136182</v>
      </c>
      <c r="C427" s="45">
        <v>46035</v>
      </c>
      <c r="D427" s="71"/>
      <c r="E427" s="70" t="s">
        <v>464</v>
      </c>
      <c r="F427" s="102">
        <v>7.9</v>
      </c>
      <c r="G427" s="88" t="s">
        <v>465</v>
      </c>
      <c r="H427" s="94"/>
      <c r="I427" s="94" t="s">
        <v>54</v>
      </c>
      <c r="J427" s="88"/>
      <c r="K427" s="30"/>
      <c r="L427" s="19" t="s">
        <v>46</v>
      </c>
    </row>
    <row r="428" spans="1:12" s="68" customFormat="1" ht="15" x14ac:dyDescent="0.25">
      <c r="A428" s="46">
        <v>420</v>
      </c>
      <c r="B428" s="89">
        <v>136183</v>
      </c>
      <c r="C428" s="45">
        <v>46036</v>
      </c>
      <c r="D428" s="71" t="s">
        <v>264</v>
      </c>
      <c r="E428" s="70"/>
      <c r="F428" s="102">
        <v>12.6</v>
      </c>
      <c r="G428" s="88" t="s">
        <v>466</v>
      </c>
      <c r="H428" s="94" t="s">
        <v>444</v>
      </c>
      <c r="I428" s="94" t="s">
        <v>55</v>
      </c>
      <c r="J428" s="88"/>
      <c r="K428" s="30"/>
      <c r="L428" s="19" t="s">
        <v>46</v>
      </c>
    </row>
    <row r="429" spans="1:12" s="68" customFormat="1" ht="15" x14ac:dyDescent="0.25">
      <c r="A429" s="46">
        <v>421</v>
      </c>
      <c r="B429" s="89">
        <v>136184</v>
      </c>
      <c r="C429" s="45">
        <v>46036</v>
      </c>
      <c r="D429" s="71"/>
      <c r="E429" s="70" t="s">
        <v>264</v>
      </c>
      <c r="F429" s="102">
        <v>8.6999999999999993</v>
      </c>
      <c r="G429" s="88" t="s">
        <v>467</v>
      </c>
      <c r="H429" s="94"/>
      <c r="I429" s="94" t="s">
        <v>54</v>
      </c>
      <c r="J429" s="88"/>
      <c r="K429" s="30"/>
      <c r="L429" s="19" t="s">
        <v>46</v>
      </c>
    </row>
    <row r="430" spans="1:12" s="68" customFormat="1" ht="15" x14ac:dyDescent="0.25">
      <c r="A430" s="46">
        <v>422</v>
      </c>
      <c r="B430" s="89">
        <v>136185</v>
      </c>
      <c r="C430" s="45">
        <v>46036</v>
      </c>
      <c r="D430" s="71" t="s">
        <v>239</v>
      </c>
      <c r="E430" s="70"/>
      <c r="F430" s="102">
        <v>8</v>
      </c>
      <c r="G430" s="88" t="s">
        <v>400</v>
      </c>
      <c r="H430" s="94" t="s">
        <v>240</v>
      </c>
      <c r="I430" s="94" t="s">
        <v>55</v>
      </c>
      <c r="J430" s="88"/>
      <c r="K430" s="30"/>
      <c r="L430" s="19" t="s">
        <v>46</v>
      </c>
    </row>
    <row r="431" spans="1:12" s="68" customFormat="1" ht="15" x14ac:dyDescent="0.25">
      <c r="A431" s="46">
        <v>423</v>
      </c>
      <c r="B431" s="89">
        <v>136186</v>
      </c>
      <c r="C431" s="45">
        <v>46036</v>
      </c>
      <c r="D431" s="71" t="s">
        <v>382</v>
      </c>
      <c r="E431" s="70"/>
      <c r="F431" s="102">
        <v>7.3</v>
      </c>
      <c r="G431" s="88" t="s">
        <v>468</v>
      </c>
      <c r="H431" s="94" t="s">
        <v>469</v>
      </c>
      <c r="I431" s="94" t="s">
        <v>55</v>
      </c>
      <c r="J431" s="88"/>
      <c r="K431" s="30"/>
      <c r="L431" s="19" t="s">
        <v>46</v>
      </c>
    </row>
    <row r="432" spans="1:12" s="68" customFormat="1" ht="15" x14ac:dyDescent="0.25">
      <c r="A432" s="46">
        <v>424</v>
      </c>
      <c r="B432" s="89">
        <v>136187</v>
      </c>
      <c r="C432" s="45">
        <v>46036</v>
      </c>
      <c r="D432" s="71" t="s">
        <v>312</v>
      </c>
      <c r="E432" s="70"/>
      <c r="F432" s="102">
        <v>9</v>
      </c>
      <c r="G432" s="88" t="s">
        <v>470</v>
      </c>
      <c r="H432" s="94" t="s">
        <v>343</v>
      </c>
      <c r="I432" s="94" t="s">
        <v>55</v>
      </c>
      <c r="J432" s="88"/>
      <c r="K432" s="30"/>
      <c r="L432" s="19" t="s">
        <v>46</v>
      </c>
    </row>
    <row r="433" spans="1:12" s="68" customFormat="1" ht="15" x14ac:dyDescent="0.25">
      <c r="A433" s="46">
        <v>425</v>
      </c>
      <c r="B433" s="89">
        <v>136188</v>
      </c>
      <c r="C433" s="45">
        <v>46036</v>
      </c>
      <c r="D433" s="71" t="s">
        <v>333</v>
      </c>
      <c r="E433" s="70"/>
      <c r="F433" s="102">
        <v>9</v>
      </c>
      <c r="G433" s="88" t="s">
        <v>471</v>
      </c>
      <c r="H433" s="94" t="s">
        <v>472</v>
      </c>
      <c r="I433" s="94" t="s">
        <v>55</v>
      </c>
      <c r="J433" s="88"/>
      <c r="K433" s="30"/>
      <c r="L433" s="19" t="s">
        <v>46</v>
      </c>
    </row>
    <row r="434" spans="1:12" s="68" customFormat="1" ht="15" x14ac:dyDescent="0.25">
      <c r="A434" s="46">
        <v>426</v>
      </c>
      <c r="B434" s="89">
        <v>136189</v>
      </c>
      <c r="C434" s="45">
        <v>46036</v>
      </c>
      <c r="D434" s="71"/>
      <c r="E434" s="70" t="s">
        <v>333</v>
      </c>
      <c r="F434" s="102">
        <v>7.5</v>
      </c>
      <c r="G434" s="88" t="s">
        <v>336</v>
      </c>
      <c r="H434" s="94"/>
      <c r="I434" s="94" t="s">
        <v>54</v>
      </c>
      <c r="J434" s="88"/>
      <c r="K434" s="30"/>
      <c r="L434" s="19" t="s">
        <v>46</v>
      </c>
    </row>
    <row r="435" spans="1:12" s="68" customFormat="1" ht="15" x14ac:dyDescent="0.25">
      <c r="A435" s="46">
        <v>427</v>
      </c>
      <c r="B435" s="89">
        <v>136190</v>
      </c>
      <c r="C435" s="45">
        <v>46036</v>
      </c>
      <c r="D435" s="71"/>
      <c r="E435" s="70" t="s">
        <v>282</v>
      </c>
      <c r="F435" s="102">
        <v>8</v>
      </c>
      <c r="G435" s="88" t="s">
        <v>400</v>
      </c>
      <c r="H435" s="94"/>
      <c r="I435" s="94" t="s">
        <v>54</v>
      </c>
      <c r="J435" s="88"/>
      <c r="K435" s="30"/>
      <c r="L435" s="19" t="s">
        <v>46</v>
      </c>
    </row>
    <row r="436" spans="1:12" s="68" customFormat="1" ht="15" x14ac:dyDescent="0.25">
      <c r="A436" s="46">
        <v>428</v>
      </c>
      <c r="B436" s="89">
        <v>136191</v>
      </c>
      <c r="C436" s="45">
        <v>46036</v>
      </c>
      <c r="D436" s="71"/>
      <c r="E436" s="70" t="s">
        <v>271</v>
      </c>
      <c r="F436" s="102">
        <v>9</v>
      </c>
      <c r="G436" s="88" t="s">
        <v>473</v>
      </c>
      <c r="H436" s="94"/>
      <c r="I436" s="94" t="s">
        <v>54</v>
      </c>
      <c r="J436" s="88"/>
      <c r="K436" s="30"/>
      <c r="L436" s="19" t="s">
        <v>46</v>
      </c>
    </row>
    <row r="437" spans="1:12" s="68" customFormat="1" ht="15" x14ac:dyDescent="0.25">
      <c r="A437" s="46">
        <v>429</v>
      </c>
      <c r="B437" s="89">
        <v>136192</v>
      </c>
      <c r="C437" s="45">
        <v>46036</v>
      </c>
      <c r="D437" s="71" t="s">
        <v>310</v>
      </c>
      <c r="E437" s="70"/>
      <c r="F437" s="102">
        <v>11.5</v>
      </c>
      <c r="G437" s="88" t="s">
        <v>143</v>
      </c>
      <c r="H437" s="94" t="s">
        <v>328</v>
      </c>
      <c r="I437" s="94" t="s">
        <v>55</v>
      </c>
      <c r="J437" s="88"/>
      <c r="K437" s="30"/>
      <c r="L437" s="19" t="s">
        <v>46</v>
      </c>
    </row>
    <row r="438" spans="1:12" s="68" customFormat="1" ht="15" x14ac:dyDescent="0.25">
      <c r="A438" s="46">
        <v>430</v>
      </c>
      <c r="B438" s="89">
        <v>136193</v>
      </c>
      <c r="C438" s="45">
        <v>46036</v>
      </c>
      <c r="D438" s="71"/>
      <c r="E438" s="70" t="s">
        <v>310</v>
      </c>
      <c r="F438" s="102">
        <v>10</v>
      </c>
      <c r="G438" s="88" t="s">
        <v>142</v>
      </c>
      <c r="H438" s="94"/>
      <c r="I438" s="94" t="s">
        <v>54</v>
      </c>
      <c r="J438" s="88"/>
      <c r="K438" s="30"/>
      <c r="L438" s="19" t="s">
        <v>46</v>
      </c>
    </row>
    <row r="439" spans="1:12" s="68" customFormat="1" ht="15" x14ac:dyDescent="0.25">
      <c r="A439" s="46">
        <v>431</v>
      </c>
      <c r="B439" s="89">
        <v>136194</v>
      </c>
      <c r="C439" s="45">
        <v>46037</v>
      </c>
      <c r="D439" s="71" t="s">
        <v>264</v>
      </c>
      <c r="E439" s="70"/>
      <c r="F439" s="102">
        <v>9.6999999999999993</v>
      </c>
      <c r="G439" s="88" t="s">
        <v>474</v>
      </c>
      <c r="H439" s="94" t="s">
        <v>475</v>
      </c>
      <c r="I439" s="94" t="s">
        <v>55</v>
      </c>
      <c r="J439" s="88"/>
      <c r="K439" s="30"/>
      <c r="L439" s="19" t="s">
        <v>46</v>
      </c>
    </row>
    <row r="440" spans="1:12" s="68" customFormat="1" ht="15" x14ac:dyDescent="0.25">
      <c r="A440" s="46">
        <v>432</v>
      </c>
      <c r="B440" s="89">
        <v>136195</v>
      </c>
      <c r="C440" s="45">
        <v>46037</v>
      </c>
      <c r="D440" s="71"/>
      <c r="E440" s="70" t="s">
        <v>264</v>
      </c>
      <c r="F440" s="102">
        <v>8.5</v>
      </c>
      <c r="G440" s="88" t="s">
        <v>476</v>
      </c>
      <c r="H440" s="94"/>
      <c r="I440" s="94" t="s">
        <v>54</v>
      </c>
      <c r="J440" s="88"/>
      <c r="K440" s="30"/>
      <c r="L440" s="19" t="s">
        <v>46</v>
      </c>
    </row>
    <row r="441" spans="1:12" s="68" customFormat="1" ht="15" x14ac:dyDescent="0.25">
      <c r="A441" s="46">
        <v>433</v>
      </c>
      <c r="B441" s="89">
        <v>136196</v>
      </c>
      <c r="C441" s="45">
        <v>46037</v>
      </c>
      <c r="D441" s="71" t="s">
        <v>312</v>
      </c>
      <c r="E441" s="70"/>
      <c r="F441" s="102">
        <v>9</v>
      </c>
      <c r="G441" s="88" t="s">
        <v>470</v>
      </c>
      <c r="H441" s="94" t="s">
        <v>314</v>
      </c>
      <c r="I441" s="94" t="s">
        <v>55</v>
      </c>
      <c r="J441" s="88"/>
      <c r="K441" s="30"/>
      <c r="L441" s="19" t="s">
        <v>46</v>
      </c>
    </row>
    <row r="442" spans="1:12" s="68" customFormat="1" ht="15" x14ac:dyDescent="0.25">
      <c r="A442" s="46">
        <v>434</v>
      </c>
      <c r="B442" s="89">
        <v>136197</v>
      </c>
      <c r="C442" s="45">
        <v>46037</v>
      </c>
      <c r="D442" s="71"/>
      <c r="E442" s="70" t="s">
        <v>271</v>
      </c>
      <c r="F442" s="102">
        <v>10</v>
      </c>
      <c r="G442" s="88" t="s">
        <v>477</v>
      </c>
      <c r="H442" s="94"/>
      <c r="I442" s="94" t="s">
        <v>54</v>
      </c>
      <c r="J442" s="88"/>
      <c r="K442" s="30"/>
      <c r="L442" s="19" t="s">
        <v>46</v>
      </c>
    </row>
    <row r="443" spans="1:12" s="68" customFormat="1" thickBot="1" x14ac:dyDescent="0.3">
      <c r="A443" s="46">
        <v>435</v>
      </c>
      <c r="B443" s="90">
        <v>128458</v>
      </c>
      <c r="C443" s="108">
        <v>46037</v>
      </c>
      <c r="D443" s="73"/>
      <c r="E443" s="74" t="s">
        <v>271</v>
      </c>
      <c r="F443" s="114">
        <v>9.6999999999999993</v>
      </c>
      <c r="G443" s="106" t="s">
        <v>478</v>
      </c>
      <c r="H443" s="95"/>
      <c r="I443" s="95" t="s">
        <v>54</v>
      </c>
      <c r="J443" s="106"/>
      <c r="K443" s="65"/>
      <c r="L443" s="78" t="s">
        <v>46</v>
      </c>
    </row>
    <row r="444" spans="1:12" s="68" customFormat="1" ht="15" x14ac:dyDescent="0.25">
      <c r="A444" s="46">
        <v>436</v>
      </c>
      <c r="B444" s="44">
        <v>133863</v>
      </c>
      <c r="C444" s="45">
        <v>46020</v>
      </c>
      <c r="D444" s="71">
        <v>0.33333333333333331</v>
      </c>
      <c r="E444" s="70"/>
      <c r="F444" s="81">
        <v>6.5</v>
      </c>
      <c r="G444" s="88" t="s">
        <v>101</v>
      </c>
      <c r="H444" s="94">
        <v>0.32500000000000001</v>
      </c>
      <c r="I444" s="94" t="s">
        <v>55</v>
      </c>
      <c r="J444" s="88"/>
      <c r="K444" s="30"/>
      <c r="L444" s="19" t="s">
        <v>49</v>
      </c>
    </row>
    <row r="445" spans="1:12" s="68" customFormat="1" ht="15" x14ac:dyDescent="0.25">
      <c r="A445" s="46">
        <v>437</v>
      </c>
      <c r="B445" s="44">
        <v>133864</v>
      </c>
      <c r="C445" s="45">
        <v>46020</v>
      </c>
      <c r="D445" s="71"/>
      <c r="E445" s="70">
        <v>0.60416666666666663</v>
      </c>
      <c r="F445" s="69">
        <v>9</v>
      </c>
      <c r="G445" s="88" t="s">
        <v>102</v>
      </c>
      <c r="H445" s="94"/>
      <c r="I445" s="94" t="s">
        <v>54</v>
      </c>
      <c r="J445" s="88"/>
      <c r="K445" s="30"/>
      <c r="L445" s="19" t="s">
        <v>49</v>
      </c>
    </row>
    <row r="446" spans="1:12" s="68" customFormat="1" ht="15" x14ac:dyDescent="0.25">
      <c r="A446" s="46">
        <v>438</v>
      </c>
      <c r="B446" s="89">
        <v>133865</v>
      </c>
      <c r="C446" s="72">
        <v>46020</v>
      </c>
      <c r="D446" s="71"/>
      <c r="E446" s="70">
        <v>0.66666666666666663</v>
      </c>
      <c r="F446" s="69">
        <v>10</v>
      </c>
      <c r="G446" s="69" t="s">
        <v>56</v>
      </c>
      <c r="H446" s="94"/>
      <c r="I446" s="94" t="s">
        <v>54</v>
      </c>
      <c r="J446" s="88"/>
      <c r="K446" s="30"/>
      <c r="L446" s="19" t="s">
        <v>49</v>
      </c>
    </row>
    <row r="447" spans="1:12" s="68" customFormat="1" ht="15" x14ac:dyDescent="0.25">
      <c r="A447" s="46">
        <v>439</v>
      </c>
      <c r="B447" s="89">
        <v>133866</v>
      </c>
      <c r="C447" s="72">
        <v>46020</v>
      </c>
      <c r="D447" s="71"/>
      <c r="E447" s="70">
        <v>0.70833333333333337</v>
      </c>
      <c r="F447" s="69">
        <v>13</v>
      </c>
      <c r="G447" s="69" t="s">
        <v>103</v>
      </c>
      <c r="H447" s="94"/>
      <c r="I447" s="94" t="s">
        <v>54</v>
      </c>
      <c r="J447" s="88"/>
      <c r="K447" s="30"/>
      <c r="L447" s="19" t="s">
        <v>49</v>
      </c>
    </row>
    <row r="448" spans="1:12" s="68" customFormat="1" ht="15" x14ac:dyDescent="0.25">
      <c r="A448" s="46">
        <v>440</v>
      </c>
      <c r="B448" s="89">
        <v>133867</v>
      </c>
      <c r="C448" s="72">
        <v>46020</v>
      </c>
      <c r="D448" s="71">
        <v>0.75</v>
      </c>
      <c r="E448" s="70"/>
      <c r="F448" s="69">
        <v>10</v>
      </c>
      <c r="G448" s="69" t="s">
        <v>104</v>
      </c>
      <c r="H448" s="94">
        <v>0.73958333333333337</v>
      </c>
      <c r="I448" s="94" t="s">
        <v>55</v>
      </c>
      <c r="J448" s="88"/>
      <c r="K448" s="30"/>
      <c r="L448" s="19" t="s">
        <v>49</v>
      </c>
    </row>
    <row r="449" spans="1:12" s="68" customFormat="1" ht="15" x14ac:dyDescent="0.25">
      <c r="A449" s="46">
        <v>441</v>
      </c>
      <c r="B449" s="89">
        <v>133868</v>
      </c>
      <c r="C449" s="72">
        <v>46020</v>
      </c>
      <c r="D449" s="71"/>
      <c r="E449" s="70">
        <v>0.79166666666666663</v>
      </c>
      <c r="F449" s="69">
        <v>7</v>
      </c>
      <c r="G449" s="69" t="s">
        <v>105</v>
      </c>
      <c r="H449" s="94"/>
      <c r="I449" s="94" t="s">
        <v>54</v>
      </c>
      <c r="J449" s="88"/>
      <c r="K449" s="147" t="s">
        <v>106</v>
      </c>
      <c r="L449" s="19" t="s">
        <v>49</v>
      </c>
    </row>
    <row r="450" spans="1:12" s="68" customFormat="1" ht="15" x14ac:dyDescent="0.25">
      <c r="A450" s="46">
        <v>442</v>
      </c>
      <c r="B450" s="89">
        <v>133869</v>
      </c>
      <c r="C450" s="72">
        <v>46020</v>
      </c>
      <c r="D450" s="71"/>
      <c r="E450" s="70">
        <v>0.75</v>
      </c>
      <c r="F450" s="69">
        <v>12.5</v>
      </c>
      <c r="G450" s="69" t="s">
        <v>107</v>
      </c>
      <c r="H450" s="94"/>
      <c r="I450" s="94" t="s">
        <v>54</v>
      </c>
      <c r="J450" s="88"/>
      <c r="K450" s="30"/>
      <c r="L450" s="19" t="s">
        <v>49</v>
      </c>
    </row>
    <row r="451" spans="1:12" s="68" customFormat="1" ht="15" x14ac:dyDescent="0.25">
      <c r="A451" s="46">
        <v>443</v>
      </c>
      <c r="B451" s="89">
        <v>133870</v>
      </c>
      <c r="C451" s="72">
        <v>46021</v>
      </c>
      <c r="D451" s="71">
        <v>0.33333333333333331</v>
      </c>
      <c r="E451" s="70"/>
      <c r="F451" s="69">
        <v>6.5</v>
      </c>
      <c r="G451" s="69" t="s">
        <v>101</v>
      </c>
      <c r="H451" s="94">
        <v>0.3263888888888889</v>
      </c>
      <c r="I451" s="94" t="s">
        <v>55</v>
      </c>
      <c r="J451" s="88"/>
      <c r="K451" s="30"/>
      <c r="L451" s="19" t="s">
        <v>49</v>
      </c>
    </row>
    <row r="452" spans="1:12" s="68" customFormat="1" ht="15" x14ac:dyDescent="0.25">
      <c r="A452" s="46">
        <v>444</v>
      </c>
      <c r="B452" s="89">
        <v>133871</v>
      </c>
      <c r="C452" s="72">
        <v>46021</v>
      </c>
      <c r="D452" s="71">
        <v>0.58333333333333337</v>
      </c>
      <c r="E452" s="70"/>
      <c r="F452" s="69">
        <v>11</v>
      </c>
      <c r="G452" s="69" t="s">
        <v>108</v>
      </c>
      <c r="H452" s="94">
        <v>0.57152777777777775</v>
      </c>
      <c r="I452" s="94" t="s">
        <v>55</v>
      </c>
      <c r="J452" s="88"/>
      <c r="K452" s="30"/>
      <c r="L452" s="19" t="s">
        <v>49</v>
      </c>
    </row>
    <row r="453" spans="1:12" s="68" customFormat="1" ht="15" x14ac:dyDescent="0.25">
      <c r="A453" s="46">
        <v>445</v>
      </c>
      <c r="B453" s="89">
        <v>133872</v>
      </c>
      <c r="C453" s="72">
        <v>46386</v>
      </c>
      <c r="D453" s="71">
        <v>0.625</v>
      </c>
      <c r="E453" s="70"/>
      <c r="F453" s="69">
        <v>9</v>
      </c>
      <c r="G453" s="69" t="s">
        <v>109</v>
      </c>
      <c r="H453" s="94">
        <v>0.61319444444444449</v>
      </c>
      <c r="I453" s="94" t="s">
        <v>55</v>
      </c>
      <c r="J453" s="88"/>
      <c r="K453" s="30"/>
      <c r="L453" s="19" t="s">
        <v>49</v>
      </c>
    </row>
    <row r="454" spans="1:12" s="68" customFormat="1" ht="15" x14ac:dyDescent="0.25">
      <c r="A454" s="46">
        <v>446</v>
      </c>
      <c r="B454" s="89">
        <v>133874</v>
      </c>
      <c r="C454" s="72">
        <v>46021</v>
      </c>
      <c r="D454" s="71"/>
      <c r="E454" s="70">
        <v>0.66666666666666663</v>
      </c>
      <c r="F454" s="69">
        <v>10</v>
      </c>
      <c r="G454" s="69" t="s">
        <v>56</v>
      </c>
      <c r="H454" s="94"/>
      <c r="I454" s="94" t="s">
        <v>54</v>
      </c>
      <c r="J454" s="88"/>
      <c r="K454" s="147" t="s">
        <v>106</v>
      </c>
      <c r="L454" s="19" t="s">
        <v>49</v>
      </c>
    </row>
    <row r="455" spans="1:12" s="68" customFormat="1" ht="15" x14ac:dyDescent="0.25">
      <c r="A455" s="46">
        <v>447</v>
      </c>
      <c r="B455" s="89">
        <v>133875</v>
      </c>
      <c r="C455" s="72">
        <v>46021</v>
      </c>
      <c r="D455" s="71">
        <v>0.75</v>
      </c>
      <c r="E455" s="70"/>
      <c r="F455" s="69">
        <v>10</v>
      </c>
      <c r="G455" s="69" t="s">
        <v>104</v>
      </c>
      <c r="H455" s="94">
        <v>0.74236111111111114</v>
      </c>
      <c r="I455" s="94" t="s">
        <v>55</v>
      </c>
      <c r="J455" s="88"/>
      <c r="K455" s="30"/>
      <c r="L455" s="19" t="s">
        <v>49</v>
      </c>
    </row>
    <row r="456" spans="1:12" s="68" customFormat="1" ht="15" x14ac:dyDescent="0.25">
      <c r="A456" s="46">
        <v>448</v>
      </c>
      <c r="B456" s="89">
        <v>136429</v>
      </c>
      <c r="C456" s="72">
        <v>46021</v>
      </c>
      <c r="D456" s="71"/>
      <c r="E456" s="70">
        <v>0.75</v>
      </c>
      <c r="F456" s="69">
        <v>7.5</v>
      </c>
      <c r="G456" s="69" t="s">
        <v>111</v>
      </c>
      <c r="H456" s="94"/>
      <c r="I456" s="94" t="s">
        <v>54</v>
      </c>
      <c r="J456" s="88"/>
      <c r="K456" s="30"/>
      <c r="L456" s="19" t="s">
        <v>49</v>
      </c>
    </row>
    <row r="457" spans="1:12" s="68" customFormat="1" ht="15" x14ac:dyDescent="0.25">
      <c r="A457" s="46">
        <v>449</v>
      </c>
      <c r="B457" s="89">
        <v>133877</v>
      </c>
      <c r="C457" s="72">
        <v>46022</v>
      </c>
      <c r="D457" s="71">
        <v>0.33333333333333331</v>
      </c>
      <c r="E457" s="70"/>
      <c r="F457" s="69">
        <v>6.5</v>
      </c>
      <c r="G457" s="69" t="s">
        <v>101</v>
      </c>
      <c r="H457" s="94">
        <v>0.32361111111111113</v>
      </c>
      <c r="I457" s="94" t="s">
        <v>55</v>
      </c>
      <c r="J457" s="88"/>
      <c r="K457" s="30"/>
      <c r="L457" s="19" t="s">
        <v>49</v>
      </c>
    </row>
    <row r="458" spans="1:12" s="68" customFormat="1" ht="15" x14ac:dyDescent="0.25">
      <c r="A458" s="46">
        <v>450</v>
      </c>
      <c r="B458" s="89">
        <v>133878</v>
      </c>
      <c r="C458" s="72">
        <v>46022</v>
      </c>
      <c r="D458" s="71">
        <v>0.375</v>
      </c>
      <c r="E458" s="70"/>
      <c r="F458" s="69">
        <v>7</v>
      </c>
      <c r="G458" s="69" t="s">
        <v>66</v>
      </c>
      <c r="H458" s="94">
        <v>0.36458333333333331</v>
      </c>
      <c r="I458" s="94" t="s">
        <v>55</v>
      </c>
      <c r="J458" s="88"/>
      <c r="K458" s="30"/>
      <c r="L458" s="19" t="s">
        <v>49</v>
      </c>
    </row>
    <row r="459" spans="1:12" s="68" customFormat="1" ht="15" x14ac:dyDescent="0.25">
      <c r="A459" s="46">
        <v>451</v>
      </c>
      <c r="B459" s="89">
        <v>133879</v>
      </c>
      <c r="C459" s="72">
        <v>46027</v>
      </c>
      <c r="D459" s="71">
        <v>0.33333333333333331</v>
      </c>
      <c r="E459" s="70"/>
      <c r="F459" s="69">
        <v>10</v>
      </c>
      <c r="G459" s="69" t="s">
        <v>104</v>
      </c>
      <c r="H459" s="94">
        <v>0.32291666666666669</v>
      </c>
      <c r="I459" s="94" t="s">
        <v>55</v>
      </c>
      <c r="J459" s="88"/>
      <c r="K459" s="30"/>
      <c r="L459" s="19" t="s">
        <v>49</v>
      </c>
    </row>
    <row r="460" spans="1:12" s="68" customFormat="1" ht="15" x14ac:dyDescent="0.25">
      <c r="A460" s="46">
        <v>452</v>
      </c>
      <c r="B460" s="89">
        <v>133880</v>
      </c>
      <c r="C460" s="72">
        <v>46027</v>
      </c>
      <c r="D460" s="71">
        <v>0.54166666666666663</v>
      </c>
      <c r="E460" s="70"/>
      <c r="F460" s="69">
        <v>8.8000000000000007</v>
      </c>
      <c r="G460" s="69" t="s">
        <v>112</v>
      </c>
      <c r="H460" s="94">
        <v>0.53263888888888888</v>
      </c>
      <c r="I460" s="94" t="s">
        <v>55</v>
      </c>
      <c r="J460" s="88"/>
      <c r="K460" s="30"/>
      <c r="L460" s="19" t="s">
        <v>49</v>
      </c>
    </row>
    <row r="461" spans="1:12" s="68" customFormat="1" ht="15" x14ac:dyDescent="0.25">
      <c r="A461" s="46">
        <v>453</v>
      </c>
      <c r="B461" s="89">
        <v>133881</v>
      </c>
      <c r="C461" s="72">
        <v>46027</v>
      </c>
      <c r="D461" s="71">
        <v>0.58333333333333337</v>
      </c>
      <c r="E461" s="70"/>
      <c r="F461" s="69">
        <v>14.3</v>
      </c>
      <c r="G461" s="69" t="s">
        <v>113</v>
      </c>
      <c r="H461" s="94">
        <v>0.57152777777777775</v>
      </c>
      <c r="I461" s="94" t="s">
        <v>55</v>
      </c>
      <c r="J461" s="88"/>
      <c r="K461" s="147" t="s">
        <v>114</v>
      </c>
      <c r="L461" s="19" t="s">
        <v>49</v>
      </c>
    </row>
    <row r="462" spans="1:12" s="68" customFormat="1" ht="15" x14ac:dyDescent="0.25">
      <c r="A462" s="46">
        <v>454</v>
      </c>
      <c r="B462" s="89">
        <v>133882</v>
      </c>
      <c r="C462" s="72">
        <v>46027</v>
      </c>
      <c r="D462" s="71"/>
      <c r="E462" s="70">
        <v>0.58333333333333337</v>
      </c>
      <c r="F462" s="69">
        <v>9</v>
      </c>
      <c r="G462" s="69" t="s">
        <v>115</v>
      </c>
      <c r="H462" s="94"/>
      <c r="I462" s="94" t="s">
        <v>54</v>
      </c>
      <c r="J462" s="88"/>
      <c r="K462" s="30"/>
      <c r="L462" s="19" t="s">
        <v>49</v>
      </c>
    </row>
    <row r="463" spans="1:12" s="68" customFormat="1" ht="15" x14ac:dyDescent="0.25">
      <c r="A463" s="46">
        <v>455</v>
      </c>
      <c r="B463" s="89">
        <v>133883</v>
      </c>
      <c r="C463" s="72">
        <v>46027</v>
      </c>
      <c r="D463" s="71">
        <v>0.75</v>
      </c>
      <c r="E463" s="70"/>
      <c r="F463" s="69">
        <v>13</v>
      </c>
      <c r="G463" s="69" t="s">
        <v>116</v>
      </c>
      <c r="H463" s="94">
        <v>0.7416666666666667</v>
      </c>
      <c r="I463" s="94" t="s">
        <v>55</v>
      </c>
      <c r="J463" s="88"/>
      <c r="K463" s="30"/>
      <c r="L463" s="19" t="s">
        <v>49</v>
      </c>
    </row>
    <row r="464" spans="1:12" s="68" customFormat="1" ht="15" x14ac:dyDescent="0.25">
      <c r="A464" s="46">
        <v>456</v>
      </c>
      <c r="B464" s="89">
        <v>133884</v>
      </c>
      <c r="C464" s="72">
        <v>46027</v>
      </c>
      <c r="D464" s="71"/>
      <c r="E464" s="70">
        <v>0.75</v>
      </c>
      <c r="F464" s="69">
        <v>9.5</v>
      </c>
      <c r="G464" s="69" t="s">
        <v>117</v>
      </c>
      <c r="H464" s="94"/>
      <c r="I464" s="94" t="s">
        <v>54</v>
      </c>
      <c r="J464" s="88"/>
      <c r="K464" s="30"/>
      <c r="L464" s="19" t="s">
        <v>49</v>
      </c>
    </row>
    <row r="465" spans="1:12" s="68" customFormat="1" ht="15" x14ac:dyDescent="0.25">
      <c r="A465" s="46">
        <v>457</v>
      </c>
      <c r="B465" s="89">
        <v>133889</v>
      </c>
      <c r="C465" s="72">
        <v>46028</v>
      </c>
      <c r="D465" s="71"/>
      <c r="E465" s="70">
        <v>0.70833333333333337</v>
      </c>
      <c r="F465" s="69">
        <v>11.5</v>
      </c>
      <c r="G465" s="69" t="s">
        <v>118</v>
      </c>
      <c r="H465" s="94"/>
      <c r="I465" s="94" t="s">
        <v>54</v>
      </c>
      <c r="J465" s="88"/>
      <c r="K465" s="30"/>
      <c r="L465" s="19" t="s">
        <v>49</v>
      </c>
    </row>
    <row r="466" spans="1:12" s="68" customFormat="1" ht="15" x14ac:dyDescent="0.25">
      <c r="A466" s="46">
        <v>458</v>
      </c>
      <c r="B466" s="89">
        <v>133890</v>
      </c>
      <c r="C466" s="72">
        <v>46029</v>
      </c>
      <c r="D466" s="71">
        <v>0.58333333333333337</v>
      </c>
      <c r="E466" s="70"/>
      <c r="F466" s="69">
        <v>16.5</v>
      </c>
      <c r="G466" s="69" t="s">
        <v>119</v>
      </c>
      <c r="H466" s="94">
        <v>0.57708333333333328</v>
      </c>
      <c r="I466" s="94" t="s">
        <v>55</v>
      </c>
      <c r="J466" s="88"/>
      <c r="K466" s="30"/>
      <c r="L466" s="19" t="s">
        <v>49</v>
      </c>
    </row>
    <row r="467" spans="1:12" s="68" customFormat="1" ht="15" x14ac:dyDescent="0.25">
      <c r="A467" s="46">
        <v>459</v>
      </c>
      <c r="B467" s="89">
        <v>133891</v>
      </c>
      <c r="C467" s="72">
        <v>46029</v>
      </c>
      <c r="D467" s="71"/>
      <c r="E467" s="70">
        <v>0.66666666666666663</v>
      </c>
      <c r="F467" s="69">
        <v>6</v>
      </c>
      <c r="G467" s="69" t="s">
        <v>120</v>
      </c>
      <c r="H467" s="94"/>
      <c r="I467" s="94" t="s">
        <v>54</v>
      </c>
      <c r="J467" s="88"/>
      <c r="K467" s="30"/>
      <c r="L467" s="19" t="s">
        <v>49</v>
      </c>
    </row>
    <row r="468" spans="1:12" s="68" customFormat="1" ht="15" x14ac:dyDescent="0.25">
      <c r="A468" s="46">
        <v>460</v>
      </c>
      <c r="B468" s="89">
        <v>133893</v>
      </c>
      <c r="C468" s="72">
        <v>46030</v>
      </c>
      <c r="D468" s="71">
        <v>0.58333333333333337</v>
      </c>
      <c r="E468" s="70"/>
      <c r="F468" s="69">
        <v>16.5</v>
      </c>
      <c r="G468" s="69" t="s">
        <v>119</v>
      </c>
      <c r="H468" s="94">
        <v>0.5805555555555556</v>
      </c>
      <c r="I468" s="94" t="s">
        <v>55</v>
      </c>
      <c r="J468" s="88"/>
      <c r="K468" s="30"/>
      <c r="L468" s="19" t="s">
        <v>49</v>
      </c>
    </row>
    <row r="469" spans="1:12" s="68" customFormat="1" ht="15" x14ac:dyDescent="0.25">
      <c r="A469" s="46">
        <v>461</v>
      </c>
      <c r="B469" s="89">
        <v>133894</v>
      </c>
      <c r="C469" s="72">
        <v>46030</v>
      </c>
      <c r="D469" s="71">
        <v>0.625</v>
      </c>
      <c r="E469" s="70"/>
      <c r="F469" s="69">
        <v>10</v>
      </c>
      <c r="G469" s="69" t="s">
        <v>121</v>
      </c>
      <c r="H469" s="94">
        <v>0.61805555555555558</v>
      </c>
      <c r="I469" s="94" t="s">
        <v>55</v>
      </c>
      <c r="J469" s="88"/>
      <c r="K469" s="30"/>
      <c r="L469" s="19" t="s">
        <v>49</v>
      </c>
    </row>
    <row r="470" spans="1:12" s="68" customFormat="1" ht="15" x14ac:dyDescent="0.25">
      <c r="A470" s="46">
        <v>462</v>
      </c>
      <c r="B470" s="89">
        <v>133895</v>
      </c>
      <c r="C470" s="72">
        <v>46030</v>
      </c>
      <c r="D470" s="71"/>
      <c r="E470" s="70">
        <v>0.625</v>
      </c>
      <c r="F470" s="69">
        <v>9.3000000000000007</v>
      </c>
      <c r="G470" s="69" t="s">
        <v>122</v>
      </c>
      <c r="H470" s="94"/>
      <c r="I470" s="94" t="s">
        <v>54</v>
      </c>
      <c r="J470" s="88"/>
      <c r="K470" s="30"/>
      <c r="L470" s="19" t="s">
        <v>49</v>
      </c>
    </row>
    <row r="471" spans="1:12" s="68" customFormat="1" ht="15" x14ac:dyDescent="0.25">
      <c r="A471" s="46">
        <v>463</v>
      </c>
      <c r="B471" s="89">
        <v>133896</v>
      </c>
      <c r="C471" s="72">
        <v>46030</v>
      </c>
      <c r="D471" s="71"/>
      <c r="E471" s="70">
        <v>0.66666666666666663</v>
      </c>
      <c r="F471" s="69">
        <v>10</v>
      </c>
      <c r="G471" s="69" t="s">
        <v>56</v>
      </c>
      <c r="H471" s="94"/>
      <c r="I471" s="94" t="s">
        <v>54</v>
      </c>
      <c r="J471" s="88"/>
      <c r="K471" s="30"/>
      <c r="L471" s="19" t="s">
        <v>49</v>
      </c>
    </row>
    <row r="472" spans="1:12" s="68" customFormat="1" ht="15" x14ac:dyDescent="0.25">
      <c r="A472" s="46">
        <v>464</v>
      </c>
      <c r="B472" s="89">
        <v>133897</v>
      </c>
      <c r="C472" s="72">
        <v>46030</v>
      </c>
      <c r="D472" s="71"/>
      <c r="E472" s="70">
        <v>0.70833333333333337</v>
      </c>
      <c r="F472" s="69">
        <v>9</v>
      </c>
      <c r="G472" s="69" t="s">
        <v>123</v>
      </c>
      <c r="H472" s="94"/>
      <c r="I472" s="94" t="s">
        <v>54</v>
      </c>
      <c r="J472" s="88"/>
      <c r="K472" s="30"/>
      <c r="L472" s="19" t="s">
        <v>49</v>
      </c>
    </row>
    <row r="473" spans="1:12" s="68" customFormat="1" ht="15" x14ac:dyDescent="0.25">
      <c r="A473" s="46">
        <v>465</v>
      </c>
      <c r="B473" s="89">
        <v>133898</v>
      </c>
      <c r="C473" s="72">
        <v>46030</v>
      </c>
      <c r="D473" s="71">
        <v>0.75</v>
      </c>
      <c r="E473" s="70"/>
      <c r="F473" s="69">
        <v>10.5</v>
      </c>
      <c r="G473" s="69" t="s">
        <v>124</v>
      </c>
      <c r="H473" s="94">
        <v>0.74444444444444446</v>
      </c>
      <c r="I473" s="94" t="s">
        <v>55</v>
      </c>
      <c r="J473" s="88"/>
      <c r="K473" s="30"/>
      <c r="L473" s="19" t="s">
        <v>49</v>
      </c>
    </row>
    <row r="474" spans="1:12" s="68" customFormat="1" ht="15" x14ac:dyDescent="0.25">
      <c r="A474" s="46">
        <v>466</v>
      </c>
      <c r="B474" s="89">
        <v>133899</v>
      </c>
      <c r="C474" s="72">
        <v>46030</v>
      </c>
      <c r="D474" s="71"/>
      <c r="E474" s="70">
        <v>0.75</v>
      </c>
      <c r="F474" s="69">
        <v>13.2</v>
      </c>
      <c r="G474" s="69" t="s">
        <v>125</v>
      </c>
      <c r="H474" s="94"/>
      <c r="I474" s="94" t="s">
        <v>54</v>
      </c>
      <c r="J474" s="88"/>
      <c r="K474" s="30"/>
      <c r="L474" s="19" t="s">
        <v>49</v>
      </c>
    </row>
    <row r="475" spans="1:12" s="68" customFormat="1" ht="15" x14ac:dyDescent="0.25">
      <c r="A475" s="46">
        <v>467</v>
      </c>
      <c r="B475" s="89">
        <v>133900</v>
      </c>
      <c r="C475" s="72">
        <v>46031</v>
      </c>
      <c r="D475" s="71">
        <v>0.33333333333333331</v>
      </c>
      <c r="E475" s="70"/>
      <c r="F475" s="69">
        <v>10</v>
      </c>
      <c r="G475" s="69" t="s">
        <v>104</v>
      </c>
      <c r="H475" s="94">
        <v>0.32847222222222222</v>
      </c>
      <c r="I475" s="94" t="s">
        <v>55</v>
      </c>
      <c r="J475" s="88"/>
      <c r="K475" s="30"/>
      <c r="L475" s="19" t="s">
        <v>49</v>
      </c>
    </row>
    <row r="476" spans="1:12" s="68" customFormat="1" ht="15" x14ac:dyDescent="0.25">
      <c r="A476" s="46">
        <v>468</v>
      </c>
      <c r="B476" s="89">
        <v>134201</v>
      </c>
      <c r="C476" s="72">
        <v>46031</v>
      </c>
      <c r="D476" s="71">
        <v>0.54166666666666663</v>
      </c>
      <c r="E476" s="70"/>
      <c r="F476" s="69">
        <v>16.5</v>
      </c>
      <c r="G476" s="69" t="s">
        <v>119</v>
      </c>
      <c r="H476" s="94">
        <v>0.53472222222222221</v>
      </c>
      <c r="I476" s="94" t="s">
        <v>55</v>
      </c>
      <c r="J476" s="88"/>
      <c r="K476" s="30"/>
      <c r="L476" s="19" t="s">
        <v>49</v>
      </c>
    </row>
    <row r="477" spans="1:12" s="68" customFormat="1" ht="15" x14ac:dyDescent="0.25">
      <c r="A477" s="46">
        <v>469</v>
      </c>
      <c r="B477" s="89">
        <v>134202</v>
      </c>
      <c r="C477" s="72">
        <v>46031</v>
      </c>
      <c r="D477" s="71"/>
      <c r="E477" s="70">
        <v>0.66666666666666663</v>
      </c>
      <c r="F477" s="69">
        <v>13</v>
      </c>
      <c r="G477" s="69" t="s">
        <v>126</v>
      </c>
      <c r="H477" s="94"/>
      <c r="I477" s="94" t="s">
        <v>54</v>
      </c>
      <c r="J477" s="88"/>
      <c r="K477" s="30"/>
      <c r="L477" s="19" t="s">
        <v>49</v>
      </c>
    </row>
    <row r="478" spans="1:12" s="68" customFormat="1" ht="15" x14ac:dyDescent="0.25">
      <c r="A478" s="46">
        <v>470</v>
      </c>
      <c r="B478" s="89">
        <v>134203</v>
      </c>
      <c r="C478" s="72">
        <v>46032</v>
      </c>
      <c r="D478" s="71"/>
      <c r="E478" s="70">
        <v>0.70833333333333337</v>
      </c>
      <c r="F478" s="69">
        <v>14.6</v>
      </c>
      <c r="G478" s="69" t="s">
        <v>127</v>
      </c>
      <c r="H478" s="94"/>
      <c r="I478" s="94" t="s">
        <v>54</v>
      </c>
      <c r="J478" s="88"/>
      <c r="K478" s="30"/>
      <c r="L478" s="19" t="s">
        <v>49</v>
      </c>
    </row>
    <row r="479" spans="1:12" s="68" customFormat="1" ht="15" x14ac:dyDescent="0.25">
      <c r="A479" s="46">
        <v>471</v>
      </c>
      <c r="B479" s="89">
        <v>134204</v>
      </c>
      <c r="C479" s="72">
        <v>46034</v>
      </c>
      <c r="D479" s="71">
        <v>0.29166666666666669</v>
      </c>
      <c r="E479" s="70"/>
      <c r="F479" s="69">
        <v>10</v>
      </c>
      <c r="G479" s="69" t="s">
        <v>56</v>
      </c>
      <c r="H479" s="94">
        <v>0.28541666666666665</v>
      </c>
      <c r="I479" s="94" t="s">
        <v>55</v>
      </c>
      <c r="J479" s="88"/>
      <c r="K479" s="30"/>
      <c r="L479" s="19" t="s">
        <v>49</v>
      </c>
    </row>
    <row r="480" spans="1:12" s="68" customFormat="1" ht="15" x14ac:dyDescent="0.25">
      <c r="A480" s="46">
        <v>472</v>
      </c>
      <c r="B480" s="89">
        <v>134205</v>
      </c>
      <c r="C480" s="72">
        <v>46035</v>
      </c>
      <c r="D480" s="71">
        <v>0.45833333333333331</v>
      </c>
      <c r="E480" s="70"/>
      <c r="F480" s="69">
        <v>10.7</v>
      </c>
      <c r="G480" s="69" t="s">
        <v>90</v>
      </c>
      <c r="H480" s="94">
        <v>0.4513888888888889</v>
      </c>
      <c r="I480" s="94" t="s">
        <v>55</v>
      </c>
      <c r="J480" s="88"/>
      <c r="K480" s="30"/>
      <c r="L480" s="19" t="s">
        <v>49</v>
      </c>
    </row>
    <row r="481" spans="1:12" s="68" customFormat="1" ht="15" x14ac:dyDescent="0.25">
      <c r="A481" s="46">
        <v>473</v>
      </c>
      <c r="B481" s="89">
        <v>134207</v>
      </c>
      <c r="C481" s="72">
        <v>46035</v>
      </c>
      <c r="D481" s="71">
        <v>0.5</v>
      </c>
      <c r="E481" s="70"/>
      <c r="F481" s="69">
        <v>7.5</v>
      </c>
      <c r="G481" s="69" t="s">
        <v>129</v>
      </c>
      <c r="H481" s="94"/>
      <c r="I481" s="94" t="s">
        <v>55</v>
      </c>
      <c r="J481" s="88"/>
      <c r="K481" s="147" t="s">
        <v>130</v>
      </c>
      <c r="L481" s="19" t="s">
        <v>49</v>
      </c>
    </row>
    <row r="482" spans="1:12" s="68" customFormat="1" ht="15" x14ac:dyDescent="0.25">
      <c r="A482" s="46">
        <v>474</v>
      </c>
      <c r="B482" s="89">
        <v>134208</v>
      </c>
      <c r="C482" s="72">
        <v>46035</v>
      </c>
      <c r="D482" s="71"/>
      <c r="E482" s="70">
        <v>0.5</v>
      </c>
      <c r="F482" s="69">
        <v>10.7</v>
      </c>
      <c r="G482" s="69" t="s">
        <v>90</v>
      </c>
      <c r="H482" s="94"/>
      <c r="I482" s="94" t="s">
        <v>54</v>
      </c>
      <c r="J482" s="88"/>
      <c r="K482" s="30"/>
      <c r="L482" s="19" t="s">
        <v>49</v>
      </c>
    </row>
    <row r="483" spans="1:12" s="68" customFormat="1" ht="15" x14ac:dyDescent="0.25">
      <c r="A483" s="46">
        <v>475</v>
      </c>
      <c r="B483" s="89">
        <v>134209</v>
      </c>
      <c r="C483" s="72">
        <v>46035</v>
      </c>
      <c r="D483" s="71"/>
      <c r="E483" s="70">
        <v>0.66666666666666663</v>
      </c>
      <c r="F483" s="69">
        <v>10</v>
      </c>
      <c r="G483" s="69" t="s">
        <v>56</v>
      </c>
      <c r="H483" s="94"/>
      <c r="I483" s="94" t="s">
        <v>54</v>
      </c>
      <c r="J483" s="88"/>
      <c r="K483" s="30"/>
      <c r="L483" s="19" t="s">
        <v>49</v>
      </c>
    </row>
    <row r="484" spans="1:12" s="68" customFormat="1" ht="15" x14ac:dyDescent="0.25">
      <c r="A484" s="46">
        <v>476</v>
      </c>
      <c r="B484" s="89">
        <v>134210</v>
      </c>
      <c r="C484" s="72">
        <v>46035</v>
      </c>
      <c r="D484" s="71"/>
      <c r="E484" s="70">
        <v>0.70833333333333337</v>
      </c>
      <c r="F484" s="69">
        <v>10</v>
      </c>
      <c r="G484" s="69" t="s">
        <v>133</v>
      </c>
      <c r="H484" s="94"/>
      <c r="I484" s="94" t="s">
        <v>54</v>
      </c>
      <c r="J484" s="88"/>
      <c r="K484" s="30"/>
      <c r="L484" s="19" t="s">
        <v>49</v>
      </c>
    </row>
    <row r="485" spans="1:12" s="68" customFormat="1" ht="15" x14ac:dyDescent="0.25">
      <c r="A485" s="46">
        <v>477</v>
      </c>
      <c r="B485" s="89">
        <v>134213</v>
      </c>
      <c r="C485" s="72">
        <v>46037</v>
      </c>
      <c r="D485" s="71">
        <v>0.25</v>
      </c>
      <c r="E485" s="70"/>
      <c r="F485" s="69">
        <v>13.8</v>
      </c>
      <c r="G485" s="69" t="s">
        <v>134</v>
      </c>
      <c r="H485" s="94">
        <v>0.24166666666666667</v>
      </c>
      <c r="I485" s="94" t="s">
        <v>55</v>
      </c>
      <c r="J485" s="88"/>
      <c r="K485" s="30"/>
      <c r="L485" s="19" t="s">
        <v>49</v>
      </c>
    </row>
    <row r="486" spans="1:12" s="68" customFormat="1" ht="15" x14ac:dyDescent="0.25">
      <c r="A486" s="46">
        <v>478</v>
      </c>
      <c r="B486" s="89">
        <v>134214</v>
      </c>
      <c r="C486" s="72">
        <v>46037</v>
      </c>
      <c r="D486" s="71"/>
      <c r="E486" s="70">
        <v>0.25</v>
      </c>
      <c r="F486" s="69">
        <v>8</v>
      </c>
      <c r="G486" s="69" t="s">
        <v>135</v>
      </c>
      <c r="H486" s="94"/>
      <c r="I486" s="94" t="s">
        <v>54</v>
      </c>
      <c r="J486" s="88"/>
      <c r="K486" s="30"/>
      <c r="L486" s="19" t="s">
        <v>49</v>
      </c>
    </row>
    <row r="487" spans="1:12" s="68" customFormat="1" ht="15" x14ac:dyDescent="0.25">
      <c r="A487" s="46">
        <v>479</v>
      </c>
      <c r="B487" s="89">
        <v>134215</v>
      </c>
      <c r="C487" s="72">
        <v>46037</v>
      </c>
      <c r="D487" s="71">
        <v>0.29166666666666669</v>
      </c>
      <c r="E487" s="70"/>
      <c r="F487" s="69">
        <v>8</v>
      </c>
      <c r="G487" s="69" t="s">
        <v>136</v>
      </c>
      <c r="H487" s="94">
        <v>0.28125</v>
      </c>
      <c r="I487" s="94" t="s">
        <v>55</v>
      </c>
      <c r="J487" s="88"/>
      <c r="K487" s="30"/>
      <c r="L487" s="19" t="s">
        <v>49</v>
      </c>
    </row>
    <row r="488" spans="1:12" s="68" customFormat="1" ht="15" x14ac:dyDescent="0.25">
      <c r="A488" s="46">
        <v>480</v>
      </c>
      <c r="B488" s="89">
        <v>134216</v>
      </c>
      <c r="C488" s="72">
        <v>46037</v>
      </c>
      <c r="D488" s="71">
        <v>0.33333333333333331</v>
      </c>
      <c r="E488" s="70"/>
      <c r="F488" s="69">
        <v>7.5</v>
      </c>
      <c r="G488" s="69" t="s">
        <v>137</v>
      </c>
      <c r="H488" s="94">
        <v>0.32916666666666666</v>
      </c>
      <c r="I488" s="94" t="s">
        <v>55</v>
      </c>
      <c r="J488" s="88"/>
      <c r="K488" s="30"/>
      <c r="L488" s="19" t="s">
        <v>49</v>
      </c>
    </row>
    <row r="489" spans="1:12" s="68" customFormat="1" ht="15" x14ac:dyDescent="0.25">
      <c r="A489" s="46">
        <v>481</v>
      </c>
      <c r="B489" s="89">
        <v>134217</v>
      </c>
      <c r="C489" s="72">
        <v>46037</v>
      </c>
      <c r="D489" s="71">
        <v>0.58333333333333337</v>
      </c>
      <c r="E489" s="70"/>
      <c r="F489" s="69">
        <v>12.8</v>
      </c>
      <c r="G489" s="69" t="s">
        <v>138</v>
      </c>
      <c r="H489" s="94">
        <v>0.57916666666666672</v>
      </c>
      <c r="I489" s="94" t="s">
        <v>55</v>
      </c>
      <c r="J489" s="88"/>
      <c r="K489" s="30"/>
      <c r="L489" s="19" t="s">
        <v>49</v>
      </c>
    </row>
    <row r="490" spans="1:12" s="68" customFormat="1" ht="15" x14ac:dyDescent="0.25">
      <c r="A490" s="46">
        <v>482</v>
      </c>
      <c r="B490" s="89">
        <v>134218</v>
      </c>
      <c r="C490" s="72">
        <v>46037</v>
      </c>
      <c r="D490" s="71"/>
      <c r="E490" s="70">
        <v>0.625</v>
      </c>
      <c r="F490" s="69">
        <v>18</v>
      </c>
      <c r="G490" s="69" t="s">
        <v>139</v>
      </c>
      <c r="H490" s="94"/>
      <c r="I490" s="94" t="s">
        <v>54</v>
      </c>
      <c r="J490" s="88"/>
      <c r="K490" s="30"/>
      <c r="L490" s="19" t="s">
        <v>49</v>
      </c>
    </row>
    <row r="491" spans="1:12" s="68" customFormat="1" ht="15" x14ac:dyDescent="0.25">
      <c r="A491" s="46">
        <v>483</v>
      </c>
      <c r="B491" s="89">
        <v>134219</v>
      </c>
      <c r="C491" s="72">
        <v>46037</v>
      </c>
      <c r="D491" s="71">
        <v>0.70833333333333337</v>
      </c>
      <c r="E491" s="70"/>
      <c r="F491" s="69">
        <v>9.8000000000000007</v>
      </c>
      <c r="G491" s="69" t="s">
        <v>140</v>
      </c>
      <c r="H491" s="94">
        <v>0.70833333333333337</v>
      </c>
      <c r="I491" s="94" t="s">
        <v>55</v>
      </c>
      <c r="J491" s="88"/>
      <c r="K491" s="30"/>
      <c r="L491" s="19" t="s">
        <v>49</v>
      </c>
    </row>
    <row r="492" spans="1:12" s="68" customFormat="1" ht="15" x14ac:dyDescent="0.25">
      <c r="A492" s="46">
        <v>484</v>
      </c>
      <c r="B492" s="89">
        <v>134220</v>
      </c>
      <c r="C492" s="72">
        <v>46037</v>
      </c>
      <c r="D492" s="71"/>
      <c r="E492" s="70">
        <v>0.70833333333333337</v>
      </c>
      <c r="F492" s="69">
        <v>10.8</v>
      </c>
      <c r="G492" s="69" t="s">
        <v>141</v>
      </c>
      <c r="H492" s="94"/>
      <c r="I492" s="94" t="s">
        <v>54</v>
      </c>
      <c r="J492" s="88"/>
      <c r="K492" s="30"/>
      <c r="L492" s="19" t="s">
        <v>49</v>
      </c>
    </row>
    <row r="493" spans="1:12" s="68" customFormat="1" thickBot="1" x14ac:dyDescent="0.3">
      <c r="A493" s="46">
        <v>485</v>
      </c>
      <c r="B493" s="90">
        <v>134222</v>
      </c>
      <c r="C493" s="77">
        <v>46341</v>
      </c>
      <c r="D493" s="73"/>
      <c r="E493" s="74">
        <v>0.75</v>
      </c>
      <c r="F493" s="75">
        <v>10</v>
      </c>
      <c r="G493" s="75" t="s">
        <v>142</v>
      </c>
      <c r="H493" s="95"/>
      <c r="I493" s="95" t="s">
        <v>54</v>
      </c>
      <c r="J493" s="106"/>
      <c r="K493" s="65"/>
      <c r="L493" s="78" t="s">
        <v>49</v>
      </c>
    </row>
    <row r="494" spans="1:12" s="68" customFormat="1" ht="15" x14ac:dyDescent="0.25">
      <c r="A494" s="46">
        <v>486</v>
      </c>
      <c r="B494" s="66">
        <v>136416</v>
      </c>
      <c r="C494" s="82">
        <v>46020</v>
      </c>
      <c r="D494" s="76">
        <v>0.33333333333333331</v>
      </c>
      <c r="E494" s="80"/>
      <c r="F494" s="88">
        <v>7.5</v>
      </c>
      <c r="G494" s="81" t="s">
        <v>145</v>
      </c>
      <c r="H494" s="94">
        <v>0.32430555555555557</v>
      </c>
      <c r="I494" s="94" t="s">
        <v>55</v>
      </c>
      <c r="J494" s="88"/>
      <c r="K494" s="30"/>
      <c r="L494" s="19" t="s">
        <v>52</v>
      </c>
    </row>
    <row r="495" spans="1:12" s="68" customFormat="1" ht="15" x14ac:dyDescent="0.25">
      <c r="A495" s="46">
        <v>487</v>
      </c>
      <c r="B495" s="66">
        <v>136417</v>
      </c>
      <c r="C495" s="82">
        <v>46020</v>
      </c>
      <c r="D495" s="76">
        <v>0.5</v>
      </c>
      <c r="E495" s="80"/>
      <c r="F495" s="88">
        <v>10.5</v>
      </c>
      <c r="G495" s="81" t="s">
        <v>146</v>
      </c>
      <c r="H495" s="94">
        <v>0.49374999999999997</v>
      </c>
      <c r="I495" s="94" t="s">
        <v>55</v>
      </c>
      <c r="J495" s="88"/>
      <c r="K495" s="30"/>
      <c r="L495" s="19" t="s">
        <v>52</v>
      </c>
    </row>
    <row r="496" spans="1:12" s="68" customFormat="1" ht="15" x14ac:dyDescent="0.25">
      <c r="A496" s="46">
        <v>488</v>
      </c>
      <c r="B496" s="66">
        <v>136418</v>
      </c>
      <c r="C496" s="82">
        <v>46020</v>
      </c>
      <c r="D496" s="76"/>
      <c r="E496" s="80">
        <v>0.5</v>
      </c>
      <c r="F496" s="88">
        <v>7.5</v>
      </c>
      <c r="G496" s="81" t="s">
        <v>145</v>
      </c>
      <c r="H496" s="94"/>
      <c r="I496" s="94" t="s">
        <v>54</v>
      </c>
      <c r="J496" s="88"/>
      <c r="K496" s="30"/>
      <c r="L496" s="19" t="s">
        <v>52</v>
      </c>
    </row>
    <row r="497" spans="1:12" s="68" customFormat="1" ht="15" x14ac:dyDescent="0.25">
      <c r="A497" s="46">
        <v>489</v>
      </c>
      <c r="B497" s="66">
        <v>136419</v>
      </c>
      <c r="C497" s="82">
        <v>46020</v>
      </c>
      <c r="D497" s="76">
        <v>0.58333333333333337</v>
      </c>
      <c r="E497" s="80"/>
      <c r="F497" s="88">
        <v>8</v>
      </c>
      <c r="G497" s="81" t="s">
        <v>147</v>
      </c>
      <c r="H497" s="94">
        <v>0.57291666666666663</v>
      </c>
      <c r="I497" s="94" t="s">
        <v>55</v>
      </c>
      <c r="J497" s="88"/>
      <c r="K497" s="147" t="s">
        <v>148</v>
      </c>
      <c r="L497" s="19" t="s">
        <v>52</v>
      </c>
    </row>
    <row r="498" spans="1:12" s="68" customFormat="1" ht="15" x14ac:dyDescent="0.25">
      <c r="A498" s="46">
        <v>490</v>
      </c>
      <c r="B498" s="66">
        <v>136420</v>
      </c>
      <c r="C498" s="82">
        <v>46020</v>
      </c>
      <c r="D498" s="76"/>
      <c r="E498" s="80">
        <v>0.58333333333333337</v>
      </c>
      <c r="F498" s="88">
        <v>8</v>
      </c>
      <c r="G498" s="81" t="s">
        <v>149</v>
      </c>
      <c r="H498" s="94"/>
      <c r="I498" s="94" t="s">
        <v>54</v>
      </c>
      <c r="J498" s="88"/>
      <c r="K498" s="30"/>
      <c r="L498" s="19" t="s">
        <v>52</v>
      </c>
    </row>
    <row r="499" spans="1:12" s="68" customFormat="1" ht="15" x14ac:dyDescent="0.25">
      <c r="A499" s="46">
        <v>491</v>
      </c>
      <c r="B499" s="66">
        <v>136421</v>
      </c>
      <c r="C499" s="82">
        <v>46020</v>
      </c>
      <c r="D499" s="76"/>
      <c r="E499" s="80">
        <v>0.60416666666666663</v>
      </c>
      <c r="F499" s="88">
        <v>7.5</v>
      </c>
      <c r="G499" s="81" t="s">
        <v>150</v>
      </c>
      <c r="H499" s="94"/>
      <c r="I499" s="94" t="s">
        <v>54</v>
      </c>
      <c r="J499" s="88"/>
      <c r="K499" s="30"/>
      <c r="L499" s="19" t="s">
        <v>52</v>
      </c>
    </row>
    <row r="500" spans="1:12" s="68" customFormat="1" ht="15" x14ac:dyDescent="0.25">
      <c r="A500" s="46">
        <v>492</v>
      </c>
      <c r="B500" s="89">
        <v>136422</v>
      </c>
      <c r="C500" s="82">
        <v>46020</v>
      </c>
      <c r="D500" s="71"/>
      <c r="E500" s="70">
        <v>0.70833333333333337</v>
      </c>
      <c r="F500" s="69">
        <v>11.5</v>
      </c>
      <c r="G500" s="69" t="s">
        <v>151</v>
      </c>
      <c r="H500" s="94"/>
      <c r="I500" s="94" t="s">
        <v>54</v>
      </c>
      <c r="J500" s="88"/>
      <c r="K500" s="30"/>
      <c r="L500" s="19" t="s">
        <v>52</v>
      </c>
    </row>
    <row r="501" spans="1:12" s="68" customFormat="1" ht="15" x14ac:dyDescent="0.25">
      <c r="A501" s="46">
        <v>493</v>
      </c>
      <c r="B501" s="89">
        <v>136423</v>
      </c>
      <c r="C501" s="72">
        <v>46021</v>
      </c>
      <c r="D501" s="71">
        <v>0.29166666666666669</v>
      </c>
      <c r="E501" s="70"/>
      <c r="F501" s="120">
        <v>10.5</v>
      </c>
      <c r="G501" s="69" t="s">
        <v>152</v>
      </c>
      <c r="H501" s="94">
        <v>0.28333333333333333</v>
      </c>
      <c r="I501" s="94" t="s">
        <v>55</v>
      </c>
      <c r="J501" s="88"/>
      <c r="K501" s="30"/>
      <c r="L501" s="19" t="s">
        <v>52</v>
      </c>
    </row>
    <row r="502" spans="1:12" s="68" customFormat="1" ht="15" x14ac:dyDescent="0.25">
      <c r="A502" s="46">
        <v>494</v>
      </c>
      <c r="B502" s="89">
        <v>136424</v>
      </c>
      <c r="C502" s="72">
        <v>46021</v>
      </c>
      <c r="D502" s="71">
        <v>0.33333333333333331</v>
      </c>
      <c r="E502" s="70"/>
      <c r="F502" s="120">
        <v>7.5</v>
      </c>
      <c r="G502" s="69" t="s">
        <v>145</v>
      </c>
      <c r="H502" s="94">
        <v>0.32291666666666669</v>
      </c>
      <c r="I502" s="94" t="s">
        <v>55</v>
      </c>
      <c r="J502" s="88"/>
      <c r="K502" s="30"/>
      <c r="L502" s="19" t="s">
        <v>52</v>
      </c>
    </row>
    <row r="503" spans="1:12" s="68" customFormat="1" ht="15" x14ac:dyDescent="0.25">
      <c r="A503" s="46">
        <v>495</v>
      </c>
      <c r="B503" s="89">
        <v>136425</v>
      </c>
      <c r="C503" s="72">
        <v>46021</v>
      </c>
      <c r="D503" s="71">
        <v>0.5</v>
      </c>
      <c r="E503" s="70"/>
      <c r="F503" s="69">
        <v>10.5</v>
      </c>
      <c r="G503" s="69" t="s">
        <v>146</v>
      </c>
      <c r="H503" s="94">
        <v>0.49374999999999997</v>
      </c>
      <c r="I503" s="94" t="s">
        <v>55</v>
      </c>
      <c r="J503" s="88"/>
      <c r="K503" s="30"/>
      <c r="L503" s="19" t="s">
        <v>52</v>
      </c>
    </row>
    <row r="504" spans="1:12" s="68" customFormat="1" ht="15" x14ac:dyDescent="0.25">
      <c r="A504" s="46">
        <v>496</v>
      </c>
      <c r="B504" s="89">
        <v>136426</v>
      </c>
      <c r="C504" s="72">
        <v>46021</v>
      </c>
      <c r="D504" s="71"/>
      <c r="E504" s="70">
        <v>0.5</v>
      </c>
      <c r="F504" s="69">
        <v>7.5</v>
      </c>
      <c r="G504" s="69" t="s">
        <v>145</v>
      </c>
      <c r="H504" s="94"/>
      <c r="I504" s="94" t="s">
        <v>54</v>
      </c>
      <c r="J504" s="88"/>
      <c r="K504" s="30"/>
      <c r="L504" s="19" t="s">
        <v>52</v>
      </c>
    </row>
    <row r="505" spans="1:12" s="68" customFormat="1" ht="15" x14ac:dyDescent="0.25">
      <c r="A505" s="46">
        <v>497</v>
      </c>
      <c r="B505" s="89">
        <v>136427</v>
      </c>
      <c r="C505" s="72">
        <v>46021</v>
      </c>
      <c r="D505" s="71">
        <v>0.58333333333333337</v>
      </c>
      <c r="E505" s="70"/>
      <c r="F505" s="69">
        <v>10</v>
      </c>
      <c r="G505" s="69" t="s">
        <v>153</v>
      </c>
      <c r="H505" s="94">
        <v>0.57361111111111118</v>
      </c>
      <c r="I505" s="94" t="s">
        <v>55</v>
      </c>
      <c r="J505" s="88"/>
      <c r="K505" s="30"/>
      <c r="L505" s="19" t="s">
        <v>52</v>
      </c>
    </row>
    <row r="506" spans="1:12" s="68" customFormat="1" ht="15" x14ac:dyDescent="0.25">
      <c r="A506" s="46">
        <v>498</v>
      </c>
      <c r="B506" s="89">
        <v>136428</v>
      </c>
      <c r="C506" s="72">
        <v>46021</v>
      </c>
      <c r="D506" s="71"/>
      <c r="E506" s="70">
        <v>0.70833333333333337</v>
      </c>
      <c r="F506" s="69">
        <v>9.3000000000000007</v>
      </c>
      <c r="G506" s="69" t="s">
        <v>154</v>
      </c>
      <c r="H506" s="94"/>
      <c r="I506" s="94" t="s">
        <v>54</v>
      </c>
      <c r="J506" s="88"/>
      <c r="K506" s="30"/>
      <c r="L506" s="19" t="s">
        <v>52</v>
      </c>
    </row>
    <row r="507" spans="1:12" s="68" customFormat="1" ht="15" x14ac:dyDescent="0.25">
      <c r="A507" s="46">
        <v>499</v>
      </c>
      <c r="B507" s="89">
        <v>133878</v>
      </c>
      <c r="C507" s="72">
        <v>46021</v>
      </c>
      <c r="D507" s="71"/>
      <c r="E507" s="70">
        <v>0.75</v>
      </c>
      <c r="F507" s="69">
        <v>10</v>
      </c>
      <c r="G507" s="69" t="s">
        <v>155</v>
      </c>
      <c r="H507" s="94"/>
      <c r="I507" s="94" t="s">
        <v>54</v>
      </c>
      <c r="J507" s="88"/>
      <c r="K507" s="147" t="s">
        <v>106</v>
      </c>
      <c r="L507" s="19" t="s">
        <v>52</v>
      </c>
    </row>
    <row r="508" spans="1:12" s="68" customFormat="1" ht="15" x14ac:dyDescent="0.25">
      <c r="A508" s="46">
        <v>500</v>
      </c>
      <c r="B508" s="89">
        <v>136430</v>
      </c>
      <c r="C508" s="72">
        <v>46021</v>
      </c>
      <c r="D508" s="71"/>
      <c r="E508" s="70">
        <v>0.72916666666666663</v>
      </c>
      <c r="F508" s="69">
        <v>7.5</v>
      </c>
      <c r="G508" s="69" t="s">
        <v>156</v>
      </c>
      <c r="H508" s="94"/>
      <c r="I508" s="94" t="s">
        <v>54</v>
      </c>
      <c r="J508" s="88"/>
      <c r="K508" s="30"/>
      <c r="L508" s="19" t="s">
        <v>52</v>
      </c>
    </row>
    <row r="509" spans="1:12" s="68" customFormat="1" ht="15" x14ac:dyDescent="0.25">
      <c r="A509" s="46">
        <v>501</v>
      </c>
      <c r="B509" s="89">
        <v>136431</v>
      </c>
      <c r="C509" s="72">
        <v>46022</v>
      </c>
      <c r="D509" s="71">
        <v>0.33333333333333331</v>
      </c>
      <c r="E509" s="70"/>
      <c r="F509" s="69">
        <v>7.5</v>
      </c>
      <c r="G509" s="69" t="s">
        <v>145</v>
      </c>
      <c r="H509" s="94">
        <v>0.3263888888888889</v>
      </c>
      <c r="I509" s="94" t="s">
        <v>55</v>
      </c>
      <c r="J509" s="88"/>
      <c r="K509" s="30"/>
      <c r="L509" s="19" t="s">
        <v>52</v>
      </c>
    </row>
    <row r="510" spans="1:12" s="68" customFormat="1" ht="15" x14ac:dyDescent="0.25">
      <c r="A510" s="46">
        <v>502</v>
      </c>
      <c r="B510" s="89">
        <v>136432</v>
      </c>
      <c r="C510" s="72">
        <v>46022</v>
      </c>
      <c r="D510" s="71">
        <v>0.33333333333333331</v>
      </c>
      <c r="E510" s="70"/>
      <c r="F510" s="69">
        <v>6</v>
      </c>
      <c r="G510" s="69" t="s">
        <v>120</v>
      </c>
      <c r="H510" s="94"/>
      <c r="I510" s="94" t="s">
        <v>55</v>
      </c>
      <c r="J510" s="88"/>
      <c r="K510" s="147" t="s">
        <v>157</v>
      </c>
      <c r="L510" s="19" t="s">
        <v>52</v>
      </c>
    </row>
    <row r="511" spans="1:12" s="68" customFormat="1" ht="15" x14ac:dyDescent="0.25">
      <c r="A511" s="46">
        <v>503</v>
      </c>
      <c r="B511" s="89">
        <v>136433</v>
      </c>
      <c r="C511" s="72">
        <v>46022</v>
      </c>
      <c r="D511" s="71"/>
      <c r="E511" s="70">
        <v>0.52083333333333337</v>
      </c>
      <c r="F511" s="69">
        <v>6.5</v>
      </c>
      <c r="G511" s="69" t="s">
        <v>158</v>
      </c>
      <c r="H511" s="94"/>
      <c r="I511" s="94" t="s">
        <v>54</v>
      </c>
      <c r="J511" s="88"/>
      <c r="K511" s="30"/>
      <c r="L511" s="19" t="s">
        <v>52</v>
      </c>
    </row>
    <row r="512" spans="1:12" s="68" customFormat="1" ht="15" x14ac:dyDescent="0.25">
      <c r="A512" s="46">
        <v>504</v>
      </c>
      <c r="B512" s="89">
        <v>136434</v>
      </c>
      <c r="C512" s="72">
        <v>46022</v>
      </c>
      <c r="D512" s="71"/>
      <c r="E512" s="70">
        <v>0.54166666666666663</v>
      </c>
      <c r="F512" s="69">
        <v>11.3</v>
      </c>
      <c r="G512" s="69" t="s">
        <v>159</v>
      </c>
      <c r="H512" s="94"/>
      <c r="I512" s="94" t="s">
        <v>54</v>
      </c>
      <c r="J512" s="88"/>
      <c r="K512" s="30"/>
      <c r="L512" s="19" t="s">
        <v>52</v>
      </c>
    </row>
    <row r="513" spans="1:12" s="68" customFormat="1" ht="15" x14ac:dyDescent="0.25">
      <c r="A513" s="46">
        <v>505</v>
      </c>
      <c r="B513" s="89">
        <v>136435</v>
      </c>
      <c r="C513" s="72">
        <v>46027</v>
      </c>
      <c r="D513" s="71">
        <v>0.33333333333333331</v>
      </c>
      <c r="E513" s="70"/>
      <c r="F513" s="69">
        <v>7.5</v>
      </c>
      <c r="G513" s="69" t="s">
        <v>145</v>
      </c>
      <c r="H513" s="94"/>
      <c r="I513" s="94" t="s">
        <v>55</v>
      </c>
      <c r="J513" s="88"/>
      <c r="K513" s="147" t="s">
        <v>160</v>
      </c>
      <c r="L513" s="19" t="s">
        <v>52</v>
      </c>
    </row>
    <row r="514" spans="1:12" s="68" customFormat="1" ht="15" x14ac:dyDescent="0.25">
      <c r="A514" s="46">
        <v>506</v>
      </c>
      <c r="B514" s="89">
        <v>136436</v>
      </c>
      <c r="C514" s="72">
        <v>46027</v>
      </c>
      <c r="D514" s="71">
        <v>0.5</v>
      </c>
      <c r="E514" s="70"/>
      <c r="F514" s="69">
        <v>10.5</v>
      </c>
      <c r="G514" s="69" t="s">
        <v>146</v>
      </c>
      <c r="H514" s="94">
        <v>0.49513888888888885</v>
      </c>
      <c r="I514" s="94" t="s">
        <v>55</v>
      </c>
      <c r="J514" s="88"/>
      <c r="K514" s="147" t="s">
        <v>161</v>
      </c>
      <c r="L514" s="19" t="s">
        <v>52</v>
      </c>
    </row>
    <row r="515" spans="1:12" s="68" customFormat="1" ht="15" x14ac:dyDescent="0.25">
      <c r="A515" s="46">
        <v>507</v>
      </c>
      <c r="B515" s="89">
        <v>136437</v>
      </c>
      <c r="C515" s="72">
        <v>46027</v>
      </c>
      <c r="D515" s="71"/>
      <c r="E515" s="70">
        <v>0.70833333333333337</v>
      </c>
      <c r="F515" s="143">
        <v>0.70833333333333337</v>
      </c>
      <c r="G515" s="69" t="s">
        <v>162</v>
      </c>
      <c r="H515" s="94"/>
      <c r="I515" s="94" t="s">
        <v>54</v>
      </c>
      <c r="J515" s="88"/>
      <c r="K515" s="30"/>
      <c r="L515" s="19" t="s">
        <v>52</v>
      </c>
    </row>
    <row r="516" spans="1:12" s="68" customFormat="1" ht="15" x14ac:dyDescent="0.25">
      <c r="A516" s="46">
        <v>508</v>
      </c>
      <c r="B516" s="89">
        <v>136438</v>
      </c>
      <c r="C516" s="72">
        <v>46028</v>
      </c>
      <c r="D516" s="71">
        <v>0.29166666666666669</v>
      </c>
      <c r="E516" s="70"/>
      <c r="F516" s="69">
        <v>8</v>
      </c>
      <c r="G516" s="69" t="s">
        <v>136</v>
      </c>
      <c r="H516" s="94">
        <v>0.28333333333333333</v>
      </c>
      <c r="I516" s="94" t="s">
        <v>55</v>
      </c>
      <c r="J516" s="88"/>
      <c r="K516" s="30"/>
      <c r="L516" s="19" t="s">
        <v>52</v>
      </c>
    </row>
    <row r="517" spans="1:12" s="68" customFormat="1" ht="15" x14ac:dyDescent="0.25">
      <c r="A517" s="46">
        <v>509</v>
      </c>
      <c r="B517" s="89">
        <v>136439</v>
      </c>
      <c r="C517" s="72">
        <v>46028</v>
      </c>
      <c r="D517" s="71">
        <v>0.5</v>
      </c>
      <c r="E517" s="70"/>
      <c r="F517" s="69">
        <v>7.5</v>
      </c>
      <c r="G517" s="69" t="s">
        <v>129</v>
      </c>
      <c r="H517" s="94">
        <v>0.4916666666666667</v>
      </c>
      <c r="I517" s="94" t="s">
        <v>55</v>
      </c>
      <c r="J517" s="88"/>
      <c r="K517" s="30"/>
      <c r="L517" s="19" t="s">
        <v>52</v>
      </c>
    </row>
    <row r="518" spans="1:12" s="68" customFormat="1" ht="15" x14ac:dyDescent="0.25">
      <c r="A518" s="46">
        <v>510</v>
      </c>
      <c r="B518" s="89">
        <v>136441</v>
      </c>
      <c r="C518" s="72">
        <v>46028</v>
      </c>
      <c r="D518" s="71"/>
      <c r="E518" s="70">
        <v>0.625</v>
      </c>
      <c r="F518" s="69">
        <v>8.6999999999999993</v>
      </c>
      <c r="G518" s="69" t="s">
        <v>163</v>
      </c>
      <c r="H518" s="94"/>
      <c r="I518" s="94" t="s">
        <v>54</v>
      </c>
      <c r="J518" s="88"/>
      <c r="K518" s="30"/>
      <c r="L518" s="19" t="s">
        <v>52</v>
      </c>
    </row>
    <row r="519" spans="1:12" s="68" customFormat="1" ht="15" x14ac:dyDescent="0.25">
      <c r="A519" s="46">
        <v>511</v>
      </c>
      <c r="B519" s="89">
        <v>136442</v>
      </c>
      <c r="C519" s="72">
        <v>46028</v>
      </c>
      <c r="D519" s="71"/>
      <c r="E519" s="70">
        <v>0.70833333333333337</v>
      </c>
      <c r="F519" s="69">
        <v>7.8</v>
      </c>
      <c r="G519" s="69" t="s">
        <v>164</v>
      </c>
      <c r="H519" s="94"/>
      <c r="I519" s="94" t="s">
        <v>54</v>
      </c>
      <c r="J519" s="88"/>
      <c r="K519" s="30"/>
      <c r="L519" s="19" t="s">
        <v>52</v>
      </c>
    </row>
    <row r="520" spans="1:12" s="68" customFormat="1" ht="15" x14ac:dyDescent="0.25">
      <c r="A520" s="46">
        <v>512</v>
      </c>
      <c r="B520" s="89">
        <v>136443</v>
      </c>
      <c r="C520" s="72">
        <v>46029</v>
      </c>
      <c r="D520" s="71">
        <v>0.5</v>
      </c>
      <c r="E520" s="70"/>
      <c r="F520" s="69">
        <v>7.5</v>
      </c>
      <c r="G520" s="69" t="s">
        <v>129</v>
      </c>
      <c r="H520" s="94">
        <v>0.4916666666666667</v>
      </c>
      <c r="I520" s="94" t="s">
        <v>55</v>
      </c>
      <c r="J520" s="88"/>
      <c r="K520" s="30"/>
      <c r="L520" s="19" t="s">
        <v>52</v>
      </c>
    </row>
    <row r="521" spans="1:12" s="68" customFormat="1" ht="15" x14ac:dyDescent="0.25">
      <c r="A521" s="46">
        <v>513</v>
      </c>
      <c r="B521" s="89">
        <v>136444</v>
      </c>
      <c r="C521" s="72">
        <v>46029</v>
      </c>
      <c r="D521" s="71">
        <v>0.54166666666666663</v>
      </c>
      <c r="E521" s="70"/>
      <c r="F521" s="69">
        <v>7.3</v>
      </c>
      <c r="G521" s="69" t="s">
        <v>83</v>
      </c>
      <c r="H521" s="94">
        <v>0.53333333333333333</v>
      </c>
      <c r="I521" s="94" t="s">
        <v>55</v>
      </c>
      <c r="J521" s="88"/>
      <c r="K521" s="30"/>
      <c r="L521" s="19" t="s">
        <v>52</v>
      </c>
    </row>
    <row r="522" spans="1:12" s="68" customFormat="1" ht="15" x14ac:dyDescent="0.25">
      <c r="A522" s="46">
        <v>514</v>
      </c>
      <c r="B522" s="89">
        <v>136445</v>
      </c>
      <c r="C522" s="72">
        <v>46029</v>
      </c>
      <c r="D522" s="71">
        <v>0.58333333333333337</v>
      </c>
      <c r="E522" s="70"/>
      <c r="F522" s="69">
        <v>8</v>
      </c>
      <c r="G522" s="69" t="s">
        <v>165</v>
      </c>
      <c r="H522" s="94">
        <v>0.57291666666666663</v>
      </c>
      <c r="I522" s="94" t="s">
        <v>55</v>
      </c>
      <c r="J522" s="88"/>
      <c r="K522" s="30"/>
      <c r="L522" s="19" t="s">
        <v>52</v>
      </c>
    </row>
    <row r="523" spans="1:12" s="68" customFormat="1" ht="15" x14ac:dyDescent="0.25">
      <c r="A523" s="46">
        <v>515</v>
      </c>
      <c r="B523" s="89">
        <v>136446</v>
      </c>
      <c r="C523" s="72">
        <v>46029</v>
      </c>
      <c r="D523" s="71"/>
      <c r="E523" s="70">
        <v>0.70833333333333337</v>
      </c>
      <c r="F523" s="69">
        <v>9</v>
      </c>
      <c r="G523" s="69" t="s">
        <v>166</v>
      </c>
      <c r="H523" s="94"/>
      <c r="I523" s="94" t="s">
        <v>54</v>
      </c>
      <c r="J523" s="88"/>
      <c r="K523" s="30"/>
      <c r="L523" s="19" t="s">
        <v>52</v>
      </c>
    </row>
    <row r="524" spans="1:12" s="68" customFormat="1" ht="15" x14ac:dyDescent="0.25">
      <c r="A524" s="46">
        <v>516</v>
      </c>
      <c r="B524" s="89">
        <v>136447</v>
      </c>
      <c r="C524" s="72">
        <v>46029</v>
      </c>
      <c r="D524" s="71">
        <v>0.75</v>
      </c>
      <c r="E524" s="70"/>
      <c r="F524" s="69">
        <v>10.5</v>
      </c>
      <c r="G524" s="69" t="s">
        <v>124</v>
      </c>
      <c r="H524" s="94">
        <v>0.74305555555555547</v>
      </c>
      <c r="I524" s="94" t="s">
        <v>55</v>
      </c>
      <c r="J524" s="88"/>
      <c r="K524" s="30"/>
      <c r="L524" s="19" t="s">
        <v>52</v>
      </c>
    </row>
    <row r="525" spans="1:12" s="68" customFormat="1" ht="15" x14ac:dyDescent="0.25">
      <c r="A525" s="46">
        <v>517</v>
      </c>
      <c r="B525" s="89">
        <v>136448</v>
      </c>
      <c r="C525" s="72">
        <v>46029</v>
      </c>
      <c r="D525" s="71"/>
      <c r="E525" s="70">
        <v>0.75</v>
      </c>
      <c r="F525" s="69">
        <v>7</v>
      </c>
      <c r="G525" s="69" t="s">
        <v>167</v>
      </c>
      <c r="H525" s="94"/>
      <c r="I525" s="94" t="s">
        <v>54</v>
      </c>
      <c r="J525" s="88"/>
      <c r="K525" s="30"/>
      <c r="L525" s="19" t="s">
        <v>52</v>
      </c>
    </row>
    <row r="526" spans="1:12" s="68" customFormat="1" ht="15" x14ac:dyDescent="0.25">
      <c r="A526" s="46">
        <v>518</v>
      </c>
      <c r="B526" s="89">
        <v>136449</v>
      </c>
      <c r="C526" s="72">
        <v>46029</v>
      </c>
      <c r="D526" s="71"/>
      <c r="E526" s="70">
        <v>0.95833333333333337</v>
      </c>
      <c r="F526" s="151">
        <v>10.8</v>
      </c>
      <c r="G526" s="69" t="s">
        <v>59</v>
      </c>
      <c r="H526" s="94"/>
      <c r="I526" s="94" t="s">
        <v>54</v>
      </c>
      <c r="J526" s="88"/>
      <c r="K526" s="30"/>
      <c r="L526" s="19" t="s">
        <v>52</v>
      </c>
    </row>
    <row r="527" spans="1:12" s="68" customFormat="1" ht="15" x14ac:dyDescent="0.25">
      <c r="A527" s="46">
        <v>519</v>
      </c>
      <c r="B527" s="89">
        <v>136450</v>
      </c>
      <c r="C527" s="72">
        <v>46030</v>
      </c>
      <c r="D527" s="71"/>
      <c r="E527" s="70">
        <v>0</v>
      </c>
      <c r="F527" s="69">
        <v>10</v>
      </c>
      <c r="G527" s="69" t="s">
        <v>78</v>
      </c>
      <c r="H527" s="94"/>
      <c r="I527" s="94" t="s">
        <v>54</v>
      </c>
      <c r="J527" s="88"/>
      <c r="K527" s="30"/>
      <c r="L527" s="19" t="s">
        <v>52</v>
      </c>
    </row>
    <row r="528" spans="1:12" s="68" customFormat="1" ht="15" x14ac:dyDescent="0.25">
      <c r="A528" s="46">
        <v>520</v>
      </c>
      <c r="B528" s="89">
        <v>136451</v>
      </c>
      <c r="C528" s="72">
        <v>46030</v>
      </c>
      <c r="D528" s="71">
        <v>0.29166666666666669</v>
      </c>
      <c r="E528" s="70"/>
      <c r="F528" s="69">
        <v>8</v>
      </c>
      <c r="G528" s="69" t="s">
        <v>136</v>
      </c>
      <c r="H528" s="94">
        <v>0.28333333333333333</v>
      </c>
      <c r="I528" s="94" t="s">
        <v>55</v>
      </c>
      <c r="J528" s="88"/>
      <c r="K528" s="30"/>
      <c r="L528" s="19" t="s">
        <v>52</v>
      </c>
    </row>
    <row r="529" spans="1:12" s="68" customFormat="1" ht="15" x14ac:dyDescent="0.25">
      <c r="A529" s="46">
        <v>521</v>
      </c>
      <c r="B529" s="89">
        <v>136452</v>
      </c>
      <c r="C529" s="72">
        <v>46030</v>
      </c>
      <c r="D529" s="71">
        <v>0.5</v>
      </c>
      <c r="E529" s="70"/>
      <c r="F529" s="69">
        <v>7.5</v>
      </c>
      <c r="G529" s="69" t="s">
        <v>129</v>
      </c>
      <c r="H529" s="94">
        <v>0.49374999999999997</v>
      </c>
      <c r="I529" s="94" t="s">
        <v>55</v>
      </c>
      <c r="J529" s="88"/>
      <c r="K529" s="30"/>
      <c r="L529" s="19" t="s">
        <v>52</v>
      </c>
    </row>
    <row r="530" spans="1:12" s="68" customFormat="1" ht="15" x14ac:dyDescent="0.25">
      <c r="A530" s="46">
        <v>522</v>
      </c>
      <c r="B530" s="89">
        <v>136453</v>
      </c>
      <c r="C530" s="72">
        <v>46030</v>
      </c>
      <c r="D530" s="71">
        <v>0.58333333333333337</v>
      </c>
      <c r="E530" s="70"/>
      <c r="F530" s="69">
        <v>8.5</v>
      </c>
      <c r="G530" s="69" t="s">
        <v>168</v>
      </c>
      <c r="H530" s="94">
        <v>0.57291666666666663</v>
      </c>
      <c r="I530" s="94" t="s">
        <v>55</v>
      </c>
      <c r="J530" s="88"/>
      <c r="K530" s="30"/>
      <c r="L530" s="19" t="s">
        <v>52</v>
      </c>
    </row>
    <row r="531" spans="1:12" s="68" customFormat="1" ht="15" x14ac:dyDescent="0.25">
      <c r="A531" s="46">
        <v>523</v>
      </c>
      <c r="B531" s="89">
        <v>136454</v>
      </c>
      <c r="C531" s="72">
        <v>46030</v>
      </c>
      <c r="D531" s="71"/>
      <c r="E531" s="70">
        <v>0.70833333333333337</v>
      </c>
      <c r="F531" s="69">
        <v>9</v>
      </c>
      <c r="G531" s="69" t="s">
        <v>169</v>
      </c>
      <c r="H531" s="94"/>
      <c r="I531" s="94" t="s">
        <v>54</v>
      </c>
      <c r="J531" s="88"/>
      <c r="K531" s="30"/>
      <c r="L531" s="19" t="s">
        <v>52</v>
      </c>
    </row>
    <row r="532" spans="1:12" s="68" customFormat="1" ht="15" x14ac:dyDescent="0.25">
      <c r="A532" s="46">
        <v>524</v>
      </c>
      <c r="B532" s="89">
        <v>136455</v>
      </c>
      <c r="C532" s="72">
        <v>46031</v>
      </c>
      <c r="D532" s="71">
        <v>0.29166666666666669</v>
      </c>
      <c r="E532" s="70"/>
      <c r="F532" s="69">
        <v>8</v>
      </c>
      <c r="G532" s="69" t="s">
        <v>136</v>
      </c>
      <c r="H532" s="94">
        <v>0.28125</v>
      </c>
      <c r="I532" s="94" t="s">
        <v>55</v>
      </c>
      <c r="J532" s="88"/>
      <c r="K532" s="30"/>
      <c r="L532" s="19" t="s">
        <v>52</v>
      </c>
    </row>
    <row r="533" spans="1:12" s="68" customFormat="1" ht="15" x14ac:dyDescent="0.25">
      <c r="A533" s="46">
        <v>525</v>
      </c>
      <c r="B533" s="89">
        <v>136456</v>
      </c>
      <c r="C533" s="72">
        <v>46031</v>
      </c>
      <c r="D533" s="71">
        <v>0.5</v>
      </c>
      <c r="E533" s="70"/>
      <c r="F533" s="69">
        <v>7.5</v>
      </c>
      <c r="G533" s="69" t="s">
        <v>129</v>
      </c>
      <c r="H533" s="94">
        <v>0.4916666666666667</v>
      </c>
      <c r="I533" s="94" t="s">
        <v>55</v>
      </c>
      <c r="J533" s="88"/>
      <c r="K533" s="30"/>
      <c r="L533" s="19" t="s">
        <v>52</v>
      </c>
    </row>
    <row r="534" spans="1:12" s="68" customFormat="1" ht="15" x14ac:dyDescent="0.25">
      <c r="A534" s="46">
        <v>526</v>
      </c>
      <c r="B534" s="89">
        <v>136457</v>
      </c>
      <c r="C534" s="72">
        <v>46031</v>
      </c>
      <c r="D534" s="71"/>
      <c r="E534" s="70">
        <v>0.70833333333333337</v>
      </c>
      <c r="F534" s="69">
        <v>7.5</v>
      </c>
      <c r="G534" s="69" t="s">
        <v>170</v>
      </c>
      <c r="H534" s="94"/>
      <c r="I534" s="94" t="s">
        <v>54</v>
      </c>
      <c r="J534" s="88"/>
      <c r="K534" s="30"/>
      <c r="L534" s="19" t="s">
        <v>52</v>
      </c>
    </row>
    <row r="535" spans="1:12" s="68" customFormat="1" ht="15" x14ac:dyDescent="0.25">
      <c r="A535" s="46">
        <v>527</v>
      </c>
      <c r="B535" s="89">
        <v>136458</v>
      </c>
      <c r="C535" s="72">
        <v>46031</v>
      </c>
      <c r="D535" s="71">
        <v>0.75</v>
      </c>
      <c r="E535" s="70"/>
      <c r="F535" s="69">
        <v>13</v>
      </c>
      <c r="G535" s="118" t="s">
        <v>171</v>
      </c>
      <c r="H535" s="94">
        <v>0.74305555555555547</v>
      </c>
      <c r="I535" s="94" t="s">
        <v>55</v>
      </c>
      <c r="J535" s="88"/>
      <c r="K535" s="30"/>
      <c r="L535" s="19" t="s">
        <v>52</v>
      </c>
    </row>
    <row r="536" spans="1:12" s="68" customFormat="1" ht="15" x14ac:dyDescent="0.25">
      <c r="A536" s="46">
        <v>528</v>
      </c>
      <c r="B536" s="89">
        <v>136459</v>
      </c>
      <c r="C536" s="72">
        <v>46031</v>
      </c>
      <c r="D536" s="71"/>
      <c r="E536" s="70">
        <v>0.75</v>
      </c>
      <c r="F536" s="69">
        <v>7.3</v>
      </c>
      <c r="G536" s="118" t="s">
        <v>172</v>
      </c>
      <c r="H536" s="94"/>
      <c r="I536" s="94" t="s">
        <v>54</v>
      </c>
      <c r="J536" s="88"/>
      <c r="K536" s="30"/>
      <c r="L536" s="19" t="s">
        <v>52</v>
      </c>
    </row>
    <row r="537" spans="1:12" s="68" customFormat="1" ht="15" x14ac:dyDescent="0.25">
      <c r="A537" s="46">
        <v>529</v>
      </c>
      <c r="B537" s="89">
        <v>136460</v>
      </c>
      <c r="C537" s="72">
        <v>46032</v>
      </c>
      <c r="D537" s="71">
        <v>0.33333333333333331</v>
      </c>
      <c r="E537" s="70"/>
      <c r="F537" s="69">
        <v>7</v>
      </c>
      <c r="G537" s="118" t="s">
        <v>173</v>
      </c>
      <c r="H537" s="94">
        <v>0.32500000000000001</v>
      </c>
      <c r="I537" s="94" t="s">
        <v>55</v>
      </c>
      <c r="J537" s="88"/>
      <c r="K537" s="30"/>
      <c r="L537" s="19" t="s">
        <v>52</v>
      </c>
    </row>
    <row r="538" spans="1:12" s="68" customFormat="1" ht="15" x14ac:dyDescent="0.25">
      <c r="A538" s="46">
        <v>530</v>
      </c>
      <c r="B538" s="66">
        <v>136461</v>
      </c>
      <c r="C538" s="82">
        <v>46032</v>
      </c>
      <c r="D538" s="76"/>
      <c r="E538" s="80">
        <v>0.5</v>
      </c>
      <c r="F538" s="81">
        <v>12.8</v>
      </c>
      <c r="G538" s="81" t="s">
        <v>92</v>
      </c>
      <c r="H538" s="94"/>
      <c r="I538" s="94" t="s">
        <v>54</v>
      </c>
      <c r="J538" s="88"/>
      <c r="K538" s="30"/>
      <c r="L538" s="19" t="s">
        <v>52</v>
      </c>
    </row>
    <row r="539" spans="1:12" s="68" customFormat="1" ht="15" x14ac:dyDescent="0.25">
      <c r="A539" s="46">
        <v>531</v>
      </c>
      <c r="B539" s="66">
        <v>136462</v>
      </c>
      <c r="C539" s="82">
        <v>46032</v>
      </c>
      <c r="D539" s="76"/>
      <c r="E539" s="80">
        <v>0.54166666666666663</v>
      </c>
      <c r="F539" s="81">
        <v>7</v>
      </c>
      <c r="G539" s="81" t="s">
        <v>83</v>
      </c>
      <c r="H539" s="94"/>
      <c r="I539" s="94" t="s">
        <v>54</v>
      </c>
      <c r="J539" s="88"/>
      <c r="K539" s="30"/>
      <c r="L539" s="19" t="s">
        <v>52</v>
      </c>
    </row>
    <row r="540" spans="1:12" s="68" customFormat="1" ht="24" x14ac:dyDescent="0.25">
      <c r="A540" s="46">
        <v>532</v>
      </c>
      <c r="B540" s="89">
        <v>136463</v>
      </c>
      <c r="C540" s="72">
        <v>46034</v>
      </c>
      <c r="D540" s="71">
        <v>0.54166666666666663</v>
      </c>
      <c r="E540" s="70"/>
      <c r="F540" s="69">
        <v>8.8000000000000007</v>
      </c>
      <c r="G540" s="69" t="s">
        <v>219</v>
      </c>
      <c r="H540" s="94"/>
      <c r="I540" s="94" t="s">
        <v>55</v>
      </c>
      <c r="J540" s="88"/>
      <c r="K540" s="152" t="s">
        <v>220</v>
      </c>
      <c r="L540" s="19" t="s">
        <v>52</v>
      </c>
    </row>
    <row r="541" spans="1:12" s="68" customFormat="1" ht="15" x14ac:dyDescent="0.25">
      <c r="A541" s="46">
        <v>533</v>
      </c>
      <c r="B541" s="89">
        <v>136464</v>
      </c>
      <c r="C541" s="72">
        <v>46034</v>
      </c>
      <c r="D541" s="71"/>
      <c r="E541" s="70">
        <v>0.625</v>
      </c>
      <c r="F541" s="69">
        <v>13</v>
      </c>
      <c r="G541" s="69" t="s">
        <v>221</v>
      </c>
      <c r="H541" s="94"/>
      <c r="I541" s="94" t="s">
        <v>54</v>
      </c>
      <c r="J541" s="88"/>
      <c r="K541" s="30"/>
      <c r="L541" s="19" t="s">
        <v>52</v>
      </c>
    </row>
    <row r="542" spans="1:12" s="68" customFormat="1" ht="15" x14ac:dyDescent="0.25">
      <c r="A542" s="46">
        <v>534</v>
      </c>
      <c r="B542" s="89">
        <v>136465</v>
      </c>
      <c r="C542" s="72">
        <v>46034</v>
      </c>
      <c r="D542" s="71"/>
      <c r="E542" s="70">
        <v>0.70833333333333337</v>
      </c>
      <c r="F542" s="69">
        <v>8.9</v>
      </c>
      <c r="G542" s="69" t="s">
        <v>222</v>
      </c>
      <c r="H542" s="94"/>
      <c r="I542" s="94" t="s">
        <v>54</v>
      </c>
      <c r="J542" s="88"/>
      <c r="K542" s="30"/>
      <c r="L542" s="19" t="s">
        <v>52</v>
      </c>
    </row>
    <row r="543" spans="1:12" s="68" customFormat="1" ht="15" x14ac:dyDescent="0.25">
      <c r="A543" s="46">
        <v>535</v>
      </c>
      <c r="B543" s="89">
        <v>136466</v>
      </c>
      <c r="C543" s="72">
        <v>46034</v>
      </c>
      <c r="D543" s="71"/>
      <c r="E543" s="70">
        <v>0.75</v>
      </c>
      <c r="F543" s="69">
        <v>7.6</v>
      </c>
      <c r="G543" s="69" t="s">
        <v>223</v>
      </c>
      <c r="H543" s="94"/>
      <c r="I543" s="94" t="s">
        <v>54</v>
      </c>
      <c r="J543" s="88"/>
      <c r="K543" s="147" t="s">
        <v>224</v>
      </c>
      <c r="L543" s="19" t="s">
        <v>52</v>
      </c>
    </row>
    <row r="544" spans="1:12" s="68" customFormat="1" ht="15" x14ac:dyDescent="0.25">
      <c r="A544" s="46">
        <v>536</v>
      </c>
      <c r="B544" s="89">
        <v>136467</v>
      </c>
      <c r="C544" s="72">
        <v>46035</v>
      </c>
      <c r="D544" s="71">
        <v>0.33333333333333331</v>
      </c>
      <c r="E544" s="70"/>
      <c r="F544" s="69">
        <v>6</v>
      </c>
      <c r="G544" s="69" t="s">
        <v>225</v>
      </c>
      <c r="H544" s="94">
        <v>0.32222222222222224</v>
      </c>
      <c r="I544" s="94" t="s">
        <v>55</v>
      </c>
      <c r="J544" s="88"/>
      <c r="K544" s="30"/>
      <c r="L544" s="19" t="s">
        <v>52</v>
      </c>
    </row>
    <row r="545" spans="1:12" s="68" customFormat="1" ht="15" x14ac:dyDescent="0.25">
      <c r="A545" s="46">
        <v>537</v>
      </c>
      <c r="B545" s="89">
        <v>136469</v>
      </c>
      <c r="C545" s="72">
        <v>46036</v>
      </c>
      <c r="D545" s="71">
        <v>0.33333333333333331</v>
      </c>
      <c r="E545" s="70"/>
      <c r="F545" s="69">
        <v>6</v>
      </c>
      <c r="G545" s="69" t="s">
        <v>225</v>
      </c>
      <c r="H545" s="94">
        <v>0.32291666666666669</v>
      </c>
      <c r="I545" s="94" t="s">
        <v>55</v>
      </c>
      <c r="J545" s="88"/>
      <c r="K545" s="30"/>
      <c r="L545" s="19" t="s">
        <v>52</v>
      </c>
    </row>
    <row r="546" spans="1:12" s="68" customFormat="1" ht="15" x14ac:dyDescent="0.25">
      <c r="A546" s="46">
        <v>538</v>
      </c>
      <c r="B546" s="89">
        <v>136470</v>
      </c>
      <c r="C546" s="72">
        <v>46036</v>
      </c>
      <c r="D546" s="71">
        <v>0.54166666666666663</v>
      </c>
      <c r="E546" s="70"/>
      <c r="F546" s="69">
        <v>8.8000000000000007</v>
      </c>
      <c r="G546" s="69" t="s">
        <v>219</v>
      </c>
      <c r="H546" s="94">
        <v>0.52916666666666667</v>
      </c>
      <c r="I546" s="94" t="s">
        <v>55</v>
      </c>
      <c r="J546" s="88"/>
      <c r="K546" s="30"/>
      <c r="L546" s="19" t="s">
        <v>52</v>
      </c>
    </row>
    <row r="547" spans="1:12" s="68" customFormat="1" ht="15" x14ac:dyDescent="0.25">
      <c r="A547" s="46">
        <v>539</v>
      </c>
      <c r="B547" s="89">
        <v>133542</v>
      </c>
      <c r="C547" s="72">
        <v>46036</v>
      </c>
      <c r="D547" s="71"/>
      <c r="E547" s="70">
        <v>0.58333333333333337</v>
      </c>
      <c r="F547" s="69">
        <v>9</v>
      </c>
      <c r="G547" s="69" t="s">
        <v>115</v>
      </c>
      <c r="H547" s="94"/>
      <c r="I547" s="94" t="s">
        <v>54</v>
      </c>
      <c r="J547" s="88"/>
      <c r="K547" s="30"/>
      <c r="L547" s="19" t="s">
        <v>52</v>
      </c>
    </row>
    <row r="548" spans="1:12" s="68" customFormat="1" ht="15" x14ac:dyDescent="0.25">
      <c r="A548" s="46">
        <v>540</v>
      </c>
      <c r="B548" s="89">
        <v>136471</v>
      </c>
      <c r="C548" s="72">
        <v>46036</v>
      </c>
      <c r="D548" s="71">
        <v>0.625</v>
      </c>
      <c r="E548" s="70"/>
      <c r="F548" s="69">
        <v>7.7</v>
      </c>
      <c r="G548" s="69" t="s">
        <v>227</v>
      </c>
      <c r="H548" s="94">
        <v>0.61944444444444446</v>
      </c>
      <c r="I548" s="94" t="s">
        <v>55</v>
      </c>
      <c r="J548" s="88"/>
      <c r="K548" s="30"/>
      <c r="L548" s="19" t="s">
        <v>52</v>
      </c>
    </row>
    <row r="549" spans="1:12" s="68" customFormat="1" ht="15" x14ac:dyDescent="0.25">
      <c r="A549" s="46">
        <v>541</v>
      </c>
      <c r="B549" s="89">
        <v>136473</v>
      </c>
      <c r="C549" s="72">
        <v>46036</v>
      </c>
      <c r="D549" s="71"/>
      <c r="E549" s="70">
        <v>0.625</v>
      </c>
      <c r="F549" s="69">
        <v>5.7</v>
      </c>
      <c r="G549" s="69" t="s">
        <v>228</v>
      </c>
      <c r="H549" s="94"/>
      <c r="I549" s="94" t="s">
        <v>54</v>
      </c>
      <c r="J549" s="88"/>
      <c r="K549" s="30"/>
      <c r="L549" s="19" t="s">
        <v>52</v>
      </c>
    </row>
    <row r="550" spans="1:12" s="68" customFormat="1" ht="15" x14ac:dyDescent="0.25">
      <c r="A550" s="46">
        <v>542</v>
      </c>
      <c r="B550" s="89">
        <v>136474</v>
      </c>
      <c r="C550" s="72">
        <v>46036</v>
      </c>
      <c r="D550" s="71"/>
      <c r="E550" s="70">
        <v>0.70833333333333337</v>
      </c>
      <c r="F550" s="69">
        <v>8.9</v>
      </c>
      <c r="G550" s="69" t="s">
        <v>169</v>
      </c>
      <c r="H550" s="94"/>
      <c r="I550" s="94" t="s">
        <v>54</v>
      </c>
      <c r="J550" s="88"/>
      <c r="K550" s="30"/>
      <c r="L550" s="19" t="s">
        <v>52</v>
      </c>
    </row>
    <row r="551" spans="1:12" s="68" customFormat="1" ht="15" x14ac:dyDescent="0.25">
      <c r="A551" s="46">
        <v>543</v>
      </c>
      <c r="B551" s="89">
        <v>136478</v>
      </c>
      <c r="C551" s="72">
        <v>46037</v>
      </c>
      <c r="D551" s="71">
        <v>0.5</v>
      </c>
      <c r="E551" s="70"/>
      <c r="F551" s="69">
        <v>7.5</v>
      </c>
      <c r="G551" s="69" t="s">
        <v>129</v>
      </c>
      <c r="H551" s="94">
        <v>0.4861111111111111</v>
      </c>
      <c r="I551" s="94" t="s">
        <v>55</v>
      </c>
      <c r="J551" s="88"/>
      <c r="K551" s="30"/>
      <c r="L551" s="19" t="s">
        <v>52</v>
      </c>
    </row>
    <row r="552" spans="1:12" s="68" customFormat="1" ht="15" x14ac:dyDescent="0.25">
      <c r="A552" s="46">
        <v>544</v>
      </c>
      <c r="B552" s="89">
        <v>136479</v>
      </c>
      <c r="C552" s="72">
        <v>46037</v>
      </c>
      <c r="D552" s="71"/>
      <c r="E552" s="70">
        <v>0.5</v>
      </c>
      <c r="F552" s="69">
        <v>8</v>
      </c>
      <c r="G552" s="69" t="s">
        <v>229</v>
      </c>
      <c r="H552" s="94"/>
      <c r="I552" s="94" t="s">
        <v>54</v>
      </c>
      <c r="J552" s="88"/>
      <c r="K552" s="30"/>
      <c r="L552" s="19" t="s">
        <v>52</v>
      </c>
    </row>
    <row r="553" spans="1:12" s="68" customFormat="1" ht="15" x14ac:dyDescent="0.25">
      <c r="A553" s="46">
        <v>545</v>
      </c>
      <c r="B553" s="89">
        <v>136481</v>
      </c>
      <c r="C553" s="72">
        <v>46037</v>
      </c>
      <c r="D553" s="71">
        <v>0.625</v>
      </c>
      <c r="E553" s="70"/>
      <c r="F553" s="69">
        <v>7.7</v>
      </c>
      <c r="G553" s="69" t="s">
        <v>227</v>
      </c>
      <c r="H553" s="94">
        <v>0.61805555555555558</v>
      </c>
      <c r="I553" s="94" t="s">
        <v>55</v>
      </c>
      <c r="J553" s="88"/>
      <c r="K553" s="30"/>
      <c r="L553" s="19" t="s">
        <v>52</v>
      </c>
    </row>
    <row r="554" spans="1:12" s="68" customFormat="1" ht="15" x14ac:dyDescent="0.25">
      <c r="A554" s="46">
        <v>546</v>
      </c>
      <c r="B554" s="89">
        <v>136482</v>
      </c>
      <c r="C554" s="72">
        <v>46037</v>
      </c>
      <c r="D554" s="71"/>
      <c r="E554" s="70">
        <v>0.625</v>
      </c>
      <c r="F554" s="69">
        <v>7.5</v>
      </c>
      <c r="G554" s="69" t="s">
        <v>231</v>
      </c>
      <c r="H554" s="94"/>
      <c r="I554" s="94" t="s">
        <v>54</v>
      </c>
      <c r="J554" s="88"/>
      <c r="K554" s="30"/>
      <c r="L554" s="19" t="s">
        <v>52</v>
      </c>
    </row>
    <row r="555" spans="1:12" s="68" customFormat="1" ht="15" x14ac:dyDescent="0.25">
      <c r="A555" s="46">
        <v>547</v>
      </c>
      <c r="B555" s="89">
        <v>136483</v>
      </c>
      <c r="C555" s="72">
        <v>46037</v>
      </c>
      <c r="D555" s="71"/>
      <c r="E555" s="70">
        <v>0.70833333333333337</v>
      </c>
      <c r="F555" s="69">
        <v>10</v>
      </c>
      <c r="G555" s="69" t="s">
        <v>232</v>
      </c>
      <c r="H555" s="94"/>
      <c r="I555" s="94" t="s">
        <v>54</v>
      </c>
      <c r="J555" s="88"/>
      <c r="K555" s="30"/>
      <c r="L555" s="19" t="s">
        <v>52</v>
      </c>
    </row>
    <row r="556" spans="1:12" s="68" customFormat="1" thickBot="1" x14ac:dyDescent="0.3">
      <c r="A556" s="46">
        <v>548</v>
      </c>
      <c r="B556" s="90">
        <v>136484</v>
      </c>
      <c r="C556" s="77">
        <v>46037</v>
      </c>
      <c r="D556" s="73"/>
      <c r="E556" s="74">
        <v>0.72916666666666663</v>
      </c>
      <c r="F556" s="75">
        <v>7</v>
      </c>
      <c r="G556" s="75" t="s">
        <v>233</v>
      </c>
      <c r="H556" s="95"/>
      <c r="I556" s="95" t="s">
        <v>54</v>
      </c>
      <c r="J556" s="106"/>
      <c r="K556" s="153" t="s">
        <v>234</v>
      </c>
      <c r="L556" s="78" t="s">
        <v>52</v>
      </c>
    </row>
    <row r="557" spans="1:12" ht="21.75" thickBot="1" x14ac:dyDescent="0.3">
      <c r="A557" s="43"/>
      <c r="B557" s="29"/>
      <c r="C557" s="20"/>
      <c r="D557" s="13"/>
      <c r="E557" s="13"/>
      <c r="F557" s="103">
        <f>SUM(F9:F556)</f>
        <v>5473.4083333333347</v>
      </c>
      <c r="G557" s="205" t="s">
        <v>26</v>
      </c>
      <c r="H557" s="206"/>
      <c r="I557" s="121"/>
      <c r="J557" s="60">
        <f>SUM(J68:J556)</f>
        <v>20</v>
      </c>
      <c r="K557" s="13"/>
      <c r="L557" s="20"/>
    </row>
    <row r="558" spans="1:12" thickBot="1" x14ac:dyDescent="0.3">
      <c r="B558" s="197" t="s">
        <v>484</v>
      </c>
      <c r="C558" s="197"/>
      <c r="D558" s="197"/>
      <c r="E558" s="198"/>
      <c r="F558" s="104">
        <v>3.32</v>
      </c>
      <c r="K558" s="13"/>
    </row>
    <row r="559" spans="1:12" ht="21.75" thickBot="1" x14ac:dyDescent="0.3">
      <c r="C559" s="13"/>
      <c r="D559" s="195" t="s">
        <v>28</v>
      </c>
      <c r="E559" s="196"/>
      <c r="F559" s="105">
        <f>SUM(F558+F557)</f>
        <v>5476.7283333333344</v>
      </c>
      <c r="K559" s="13"/>
    </row>
    <row r="560" spans="1:12" ht="15" x14ac:dyDescent="0.25">
      <c r="A560" s="1"/>
      <c r="B560" s="1"/>
      <c r="C560" s="13"/>
      <c r="D560" s="13"/>
      <c r="E560" s="13"/>
      <c r="K560" s="13"/>
    </row>
    <row r="561" spans="1:11" ht="15" x14ac:dyDescent="0.25">
      <c r="A561" s="1"/>
      <c r="B561" s="1"/>
      <c r="C561" s="13"/>
      <c r="D561" s="13"/>
      <c r="E561" s="13"/>
      <c r="K561" s="13"/>
    </row>
    <row r="562" spans="1:11" ht="15" x14ac:dyDescent="0.25">
      <c r="A562" s="1"/>
      <c r="B562" s="1"/>
      <c r="C562" s="13"/>
      <c r="D562" s="13"/>
      <c r="E562" s="13"/>
      <c r="K562" s="13"/>
    </row>
    <row r="563" spans="1:11" ht="15" x14ac:dyDescent="0.25">
      <c r="A563" s="1"/>
      <c r="B563" s="1"/>
      <c r="C563" s="13"/>
      <c r="D563" s="13"/>
      <c r="E563" s="13"/>
      <c r="K563" s="13"/>
    </row>
    <row r="564" spans="1:11" ht="15" x14ac:dyDescent="0.25">
      <c r="A564" s="1"/>
      <c r="B564" s="1"/>
      <c r="C564" s="13"/>
      <c r="D564" s="13"/>
      <c r="E564" s="13"/>
      <c r="K564" s="13"/>
    </row>
    <row r="565" spans="1:11" ht="15" x14ac:dyDescent="0.25">
      <c r="A565" s="1"/>
      <c r="B565" s="1"/>
      <c r="C565" s="13"/>
      <c r="D565" s="13"/>
      <c r="E565" s="13"/>
      <c r="K565" s="13"/>
    </row>
    <row r="566" spans="1:11" ht="15" x14ac:dyDescent="0.25">
      <c r="A566" s="1"/>
      <c r="B566" s="1"/>
      <c r="C566" s="13"/>
      <c r="D566" s="13"/>
      <c r="E566" s="13"/>
      <c r="K566" s="13"/>
    </row>
    <row r="567" spans="1:11" ht="15" x14ac:dyDescent="0.25">
      <c r="A567" s="1"/>
      <c r="B567" s="1"/>
      <c r="C567" s="13"/>
      <c r="D567" s="13"/>
      <c r="E567" s="13"/>
      <c r="K567" s="13"/>
    </row>
    <row r="568" spans="1:11" ht="15" x14ac:dyDescent="0.25">
      <c r="A568" s="1"/>
      <c r="B568" s="1"/>
      <c r="C568" s="13"/>
      <c r="D568" s="13"/>
      <c r="E568" s="13"/>
      <c r="K568" s="13"/>
    </row>
    <row r="569" spans="1:11" ht="15" x14ac:dyDescent="0.25">
      <c r="A569" s="1"/>
      <c r="B569" s="1"/>
      <c r="C569" s="13"/>
      <c r="D569" s="13"/>
      <c r="E569" s="13"/>
      <c r="K569" s="13"/>
    </row>
    <row r="570" spans="1:11" ht="15" x14ac:dyDescent="0.25">
      <c r="A570" s="1"/>
      <c r="B570" s="1"/>
      <c r="C570" s="13"/>
      <c r="D570" s="13"/>
      <c r="E570" s="13"/>
      <c r="K570" s="13"/>
    </row>
    <row r="571" spans="1:11" ht="15" x14ac:dyDescent="0.25">
      <c r="A571" s="1"/>
      <c r="B571" s="1"/>
      <c r="C571" s="13"/>
      <c r="D571" s="13"/>
      <c r="E571" s="13"/>
      <c r="K571" s="13"/>
    </row>
    <row r="572" spans="1:11" ht="15" x14ac:dyDescent="0.25">
      <c r="A572" s="1"/>
      <c r="B572" s="1"/>
      <c r="C572" s="13"/>
      <c r="D572" s="13"/>
      <c r="E572" s="13"/>
      <c r="K572" s="13"/>
    </row>
    <row r="573" spans="1:11" ht="15" x14ac:dyDescent="0.25">
      <c r="A573" s="1"/>
      <c r="B573" s="1"/>
      <c r="C573" s="13"/>
      <c r="D573" s="13"/>
      <c r="E573" s="13"/>
      <c r="K573" s="13"/>
    </row>
    <row r="574" spans="1:11" ht="15" x14ac:dyDescent="0.25">
      <c r="A574" s="1"/>
      <c r="B574" s="1"/>
      <c r="C574" s="13"/>
      <c r="D574" s="13"/>
      <c r="E574" s="13"/>
      <c r="K574" s="13"/>
    </row>
    <row r="575" spans="1:11" ht="15" x14ac:dyDescent="0.25">
      <c r="A575" s="1"/>
      <c r="B575" s="1"/>
      <c r="C575" s="13"/>
      <c r="D575" s="13"/>
      <c r="E575" s="13"/>
      <c r="K575" s="13"/>
    </row>
    <row r="576" spans="1:11" ht="15" x14ac:dyDescent="0.25">
      <c r="A576" s="1"/>
      <c r="B576" s="1"/>
      <c r="C576" s="13"/>
      <c r="D576" s="13"/>
      <c r="E576" s="13"/>
      <c r="K576" s="13"/>
    </row>
    <row r="577" spans="1:11" ht="15" x14ac:dyDescent="0.25">
      <c r="A577" s="1"/>
      <c r="B577" s="1"/>
      <c r="C577" s="13"/>
      <c r="D577" s="13"/>
      <c r="E577" s="13"/>
      <c r="K577" s="13"/>
    </row>
    <row r="578" spans="1:11" ht="15" x14ac:dyDescent="0.25">
      <c r="A578" s="1"/>
      <c r="B578" s="1"/>
      <c r="C578" s="13"/>
      <c r="D578" s="13"/>
      <c r="E578" s="13"/>
      <c r="K578" s="13"/>
    </row>
    <row r="579" spans="1:11" ht="15" x14ac:dyDescent="0.25">
      <c r="A579" s="1"/>
      <c r="B579" s="1"/>
      <c r="C579" s="13"/>
      <c r="D579" s="13"/>
      <c r="E579" s="13"/>
      <c r="K579" s="13"/>
    </row>
    <row r="580" spans="1:11" ht="15" x14ac:dyDescent="0.25">
      <c r="A580" s="1"/>
      <c r="B580" s="1"/>
      <c r="C580" s="13"/>
      <c r="D580" s="13"/>
      <c r="E580" s="13"/>
      <c r="K580" s="13"/>
    </row>
    <row r="581" spans="1:11" ht="15" x14ac:dyDescent="0.25">
      <c r="A581" s="1"/>
      <c r="B581" s="1"/>
      <c r="C581" s="13"/>
      <c r="D581" s="13"/>
      <c r="E581" s="13"/>
      <c r="K581" s="13"/>
    </row>
    <row r="582" spans="1:11" ht="15" x14ac:dyDescent="0.25">
      <c r="A582" s="1"/>
      <c r="B582" s="1"/>
      <c r="C582" s="13"/>
      <c r="D582" s="13"/>
      <c r="E582" s="13"/>
      <c r="K582" s="13"/>
    </row>
    <row r="583" spans="1:11" ht="15" x14ac:dyDescent="0.25">
      <c r="A583" s="1"/>
      <c r="B583" s="1"/>
      <c r="C583" s="13"/>
      <c r="D583" s="13"/>
      <c r="E583" s="13"/>
      <c r="K583" s="13"/>
    </row>
    <row r="584" spans="1:11" ht="15" x14ac:dyDescent="0.25">
      <c r="A584" s="1"/>
      <c r="B584" s="1"/>
      <c r="C584" s="13"/>
      <c r="D584" s="13"/>
      <c r="E584" s="13"/>
      <c r="K584" s="13"/>
    </row>
    <row r="585" spans="1:11" ht="15" x14ac:dyDescent="0.25">
      <c r="A585" s="1"/>
      <c r="B585" s="1"/>
      <c r="C585" s="13"/>
      <c r="D585" s="13"/>
      <c r="E585" s="13"/>
      <c r="K585" s="13"/>
    </row>
    <row r="586" spans="1:11" ht="15" x14ac:dyDescent="0.25">
      <c r="A586" s="1"/>
      <c r="B586" s="1"/>
      <c r="C586" s="13"/>
      <c r="D586" s="13"/>
      <c r="E586" s="13"/>
      <c r="K586" s="13"/>
    </row>
    <row r="587" spans="1:11" ht="15" x14ac:dyDescent="0.25">
      <c r="A587" s="1"/>
      <c r="B587" s="1"/>
      <c r="C587" s="13"/>
      <c r="D587" s="13"/>
      <c r="E587" s="13"/>
      <c r="K587" s="13"/>
    </row>
    <row r="588" spans="1:11" ht="15" x14ac:dyDescent="0.25">
      <c r="A588" s="1"/>
      <c r="B588" s="1"/>
      <c r="C588" s="13"/>
      <c r="D588" s="13"/>
      <c r="E588" s="13"/>
      <c r="K588" s="13"/>
    </row>
    <row r="589" spans="1:11" ht="15" x14ac:dyDescent="0.25">
      <c r="A589" s="1"/>
      <c r="B589" s="1"/>
      <c r="C589" s="13"/>
      <c r="D589" s="13"/>
      <c r="E589" s="13"/>
      <c r="K589" s="13"/>
    </row>
  </sheetData>
  <sortState ref="B87:G93">
    <sortCondition ref="B87"/>
  </sortState>
  <mergeCells count="17">
    <mergeCell ref="G3:J3"/>
    <mergeCell ref="G4:J4"/>
    <mergeCell ref="E3:F3"/>
    <mergeCell ref="E4:F4"/>
    <mergeCell ref="B7:B8"/>
    <mergeCell ref="C7:C8"/>
    <mergeCell ref="D7:E7"/>
    <mergeCell ref="F7:F8"/>
    <mergeCell ref="J7:J8"/>
    <mergeCell ref="I7:I8"/>
    <mergeCell ref="D559:E559"/>
    <mergeCell ref="B558:E558"/>
    <mergeCell ref="K7:K8"/>
    <mergeCell ref="L7:L8"/>
    <mergeCell ref="A7:A8"/>
    <mergeCell ref="H7:H8"/>
    <mergeCell ref="G557:H55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I19"/>
  <sheetViews>
    <sheetView showGridLines="0" topLeftCell="A4" zoomScale="85" zoomScaleNormal="85" workbookViewId="0">
      <selection activeCell="F26" sqref="F26"/>
    </sheetView>
  </sheetViews>
  <sheetFormatPr baseColWidth="10" defaultRowHeight="15" x14ac:dyDescent="0.25"/>
  <cols>
    <col min="1" max="1" width="3.140625" style="4" bestFit="1" customWidth="1"/>
    <col min="8" max="8" width="52" customWidth="1"/>
    <col min="9" max="9" width="22.42578125" bestFit="1" customWidth="1"/>
  </cols>
  <sheetData>
    <row r="2" spans="1:9" ht="15.75" thickBot="1" x14ac:dyDescent="0.3"/>
    <row r="3" spans="1:9" ht="21.75" thickBot="1" x14ac:dyDescent="0.3">
      <c r="E3" s="210" t="s">
        <v>14</v>
      </c>
      <c r="F3" s="212"/>
      <c r="G3" s="12">
        <f>F19</f>
        <v>165.62</v>
      </c>
    </row>
    <row r="4" spans="1:9" ht="21" x14ac:dyDescent="0.25">
      <c r="E4" s="210" t="s">
        <v>15</v>
      </c>
      <c r="F4" s="212"/>
      <c r="G4" s="12"/>
    </row>
    <row r="6" spans="1:9" ht="15.75" thickBot="1" x14ac:dyDescent="0.3"/>
    <row r="7" spans="1:9" x14ac:dyDescent="0.25">
      <c r="A7" s="224" t="s">
        <v>13</v>
      </c>
      <c r="B7" s="226" t="s">
        <v>0</v>
      </c>
      <c r="C7" s="228" t="s">
        <v>1</v>
      </c>
      <c r="D7" s="230" t="s">
        <v>2</v>
      </c>
      <c r="E7" s="231"/>
      <c r="F7" s="232" t="s">
        <v>3</v>
      </c>
      <c r="G7" s="199" t="s">
        <v>24</v>
      </c>
      <c r="H7" s="199" t="s">
        <v>9</v>
      </c>
      <c r="I7" s="222" t="s">
        <v>8</v>
      </c>
    </row>
    <row r="8" spans="1:9" ht="15.75" thickBot="1" x14ac:dyDescent="0.3">
      <c r="A8" s="225"/>
      <c r="B8" s="227"/>
      <c r="C8" s="229"/>
      <c r="D8" s="11" t="s">
        <v>5</v>
      </c>
      <c r="E8" s="10" t="s">
        <v>6</v>
      </c>
      <c r="F8" s="233"/>
      <c r="G8" s="200"/>
      <c r="H8" s="200"/>
      <c r="I8" s="223"/>
    </row>
    <row r="9" spans="1:9" s="68" customFormat="1" ht="15.75" thickBot="1" x14ac:dyDescent="0.3">
      <c r="A9" s="31">
        <v>1</v>
      </c>
      <c r="B9" s="124">
        <v>133522</v>
      </c>
      <c r="C9" s="125">
        <v>46031</v>
      </c>
      <c r="D9" s="126">
        <v>0.5</v>
      </c>
      <c r="E9" s="127"/>
      <c r="F9" s="161">
        <v>8</v>
      </c>
      <c r="G9" s="128">
        <v>15</v>
      </c>
      <c r="H9" s="129" t="s">
        <v>502</v>
      </c>
      <c r="I9" s="130" t="s">
        <v>44</v>
      </c>
    </row>
    <row r="10" spans="1:9" s="68" customFormat="1" x14ac:dyDescent="0.25">
      <c r="A10" s="31">
        <v>2</v>
      </c>
      <c r="B10" s="91">
        <v>134006</v>
      </c>
      <c r="C10" s="82">
        <v>46021</v>
      </c>
      <c r="D10" s="76" t="s">
        <v>479</v>
      </c>
      <c r="E10" s="80"/>
      <c r="F10" s="155">
        <v>6</v>
      </c>
      <c r="G10" s="81"/>
      <c r="H10" s="86" t="s">
        <v>480</v>
      </c>
      <c r="I10" s="83" t="s">
        <v>46</v>
      </c>
    </row>
    <row r="11" spans="1:9" s="68" customFormat="1" x14ac:dyDescent="0.25">
      <c r="A11" s="31">
        <v>3</v>
      </c>
      <c r="B11" s="91">
        <v>134014</v>
      </c>
      <c r="C11" s="82">
        <v>46027</v>
      </c>
      <c r="D11" s="76" t="s">
        <v>382</v>
      </c>
      <c r="E11" s="80"/>
      <c r="F11" s="155">
        <v>6</v>
      </c>
      <c r="G11" s="81"/>
      <c r="H11" s="86" t="s">
        <v>480</v>
      </c>
      <c r="I11" s="83" t="s">
        <v>46</v>
      </c>
    </row>
    <row r="12" spans="1:9" s="68" customFormat="1" x14ac:dyDescent="0.25">
      <c r="A12" s="31">
        <v>4</v>
      </c>
      <c r="B12" s="92">
        <v>134036</v>
      </c>
      <c r="C12" s="72">
        <v>46030</v>
      </c>
      <c r="D12" s="71" t="s">
        <v>481</v>
      </c>
      <c r="E12" s="70"/>
      <c r="F12" s="131">
        <v>6</v>
      </c>
      <c r="G12" s="69"/>
      <c r="H12" s="84" t="s">
        <v>480</v>
      </c>
      <c r="I12" s="5" t="s">
        <v>46</v>
      </c>
    </row>
    <row r="13" spans="1:9" s="68" customFormat="1" ht="15.75" thickBot="1" x14ac:dyDescent="0.3">
      <c r="A13" s="31">
        <v>5</v>
      </c>
      <c r="B13" s="93">
        <v>134037</v>
      </c>
      <c r="C13" s="77">
        <v>46030</v>
      </c>
      <c r="D13" s="73" t="s">
        <v>482</v>
      </c>
      <c r="E13" s="74"/>
      <c r="F13" s="119">
        <v>12.8</v>
      </c>
      <c r="G13" s="75">
        <v>20</v>
      </c>
      <c r="H13" s="85" t="s">
        <v>483</v>
      </c>
      <c r="I13" s="79" t="s">
        <v>46</v>
      </c>
    </row>
    <row r="14" spans="1:9" s="68" customFormat="1" ht="15.75" thickBot="1" x14ac:dyDescent="0.3">
      <c r="A14" s="31">
        <v>6</v>
      </c>
      <c r="B14" s="134">
        <v>134206</v>
      </c>
      <c r="C14" s="135">
        <v>46035</v>
      </c>
      <c r="D14" s="136"/>
      <c r="E14" s="137">
        <v>0.45833333333333331</v>
      </c>
      <c r="F14" s="156">
        <v>6.5</v>
      </c>
      <c r="G14" s="138"/>
      <c r="H14" s="139" t="s">
        <v>128</v>
      </c>
      <c r="I14" s="140" t="s">
        <v>49</v>
      </c>
    </row>
    <row r="15" spans="1:9" s="68" customFormat="1" x14ac:dyDescent="0.25">
      <c r="A15" s="31">
        <v>7</v>
      </c>
      <c r="B15" s="91">
        <v>136468</v>
      </c>
      <c r="C15" s="82">
        <v>46035</v>
      </c>
      <c r="D15" s="76"/>
      <c r="E15" s="80">
        <v>0.4513888888888889</v>
      </c>
      <c r="F15" s="155">
        <v>108.5</v>
      </c>
      <c r="G15" s="81"/>
      <c r="H15" s="86" t="s">
        <v>226</v>
      </c>
      <c r="I15" s="83" t="s">
        <v>52</v>
      </c>
    </row>
    <row r="16" spans="1:9" s="68" customFormat="1" ht="15.75" thickBot="1" x14ac:dyDescent="0.3">
      <c r="A16" s="157">
        <v>8</v>
      </c>
      <c r="B16" s="93">
        <v>136480</v>
      </c>
      <c r="C16" s="77">
        <v>46037</v>
      </c>
      <c r="D16" s="73">
        <v>0.52083333333333337</v>
      </c>
      <c r="E16" s="74"/>
      <c r="F16" s="119">
        <v>6</v>
      </c>
      <c r="G16" s="75"/>
      <c r="H16" s="85" t="s">
        <v>230</v>
      </c>
      <c r="I16" s="79" t="s">
        <v>52</v>
      </c>
    </row>
    <row r="17" spans="1:9" ht="21.75" thickBot="1" x14ac:dyDescent="0.3">
      <c r="A17" s="87"/>
      <c r="B17" s="18"/>
      <c r="C17" s="21"/>
      <c r="D17" s="20"/>
      <c r="E17" s="13"/>
      <c r="F17" s="59">
        <f>SUM(F9:F16)</f>
        <v>159.80000000000001</v>
      </c>
      <c r="G17" s="61">
        <f>SUM(G9:G16)</f>
        <v>35</v>
      </c>
      <c r="H17" s="24"/>
      <c r="I17" s="20"/>
    </row>
    <row r="18" spans="1:9" ht="15.75" thickBot="1" x14ac:dyDescent="0.3">
      <c r="B18" s="22"/>
      <c r="C18" s="220" t="s">
        <v>484</v>
      </c>
      <c r="D18" s="220"/>
      <c r="E18" s="221"/>
      <c r="F18" s="50">
        <v>5.82</v>
      </c>
      <c r="G18" s="13"/>
      <c r="H18" s="23"/>
      <c r="I18" s="13"/>
    </row>
    <row r="19" spans="1:9" ht="21.75" thickBot="1" x14ac:dyDescent="0.3">
      <c r="B19" s="13"/>
      <c r="C19" s="13"/>
      <c r="D19" s="197" t="s">
        <v>28</v>
      </c>
      <c r="E19" s="198"/>
      <c r="F19" s="14">
        <f>SUM(F17:F18)</f>
        <v>165.62</v>
      </c>
      <c r="G19" s="13"/>
      <c r="H19" s="20"/>
      <c r="I19" s="13"/>
    </row>
  </sheetData>
  <mergeCells count="12">
    <mergeCell ref="E3:F3"/>
    <mergeCell ref="E4:F4"/>
    <mergeCell ref="B7:B8"/>
    <mergeCell ref="C7:C8"/>
    <mergeCell ref="D7:E7"/>
    <mergeCell ref="F7:F8"/>
    <mergeCell ref="C18:E18"/>
    <mergeCell ref="D19:E19"/>
    <mergeCell ref="H7:H8"/>
    <mergeCell ref="I7:I8"/>
    <mergeCell ref="A7:A8"/>
    <mergeCell ref="G7:G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K47"/>
  <sheetViews>
    <sheetView showGridLines="0" topLeftCell="A25" zoomScale="85" zoomScaleNormal="85" workbookViewId="0">
      <selection activeCell="F43" sqref="F43"/>
    </sheetView>
  </sheetViews>
  <sheetFormatPr baseColWidth="10" defaultColWidth="11.42578125" defaultRowHeight="15" x14ac:dyDescent="0.25"/>
  <cols>
    <col min="1" max="1" width="3.140625" style="4" bestFit="1" customWidth="1"/>
    <col min="2" max="2" width="12.5703125" style="1" customWidth="1"/>
    <col min="3" max="5" width="11.42578125" style="1"/>
    <col min="6" max="6" width="11.5703125" style="13" customWidth="1"/>
    <col min="7" max="7" width="11.42578125" style="1"/>
    <col min="8" max="8" width="31.85546875" style="13" customWidth="1"/>
    <col min="9" max="9" width="9.5703125" style="13" customWidth="1"/>
    <col min="10" max="10" width="31.5703125" style="13" customWidth="1"/>
    <col min="11" max="11" width="22.7109375" style="1" customWidth="1"/>
    <col min="12" max="16384" width="11.42578125" style="1"/>
  </cols>
  <sheetData>
    <row r="2" spans="1:11" ht="15.75" thickBot="1" x14ac:dyDescent="0.3">
      <c r="J2" s="20"/>
    </row>
    <row r="3" spans="1:11" ht="19.5" customHeight="1" thickBot="1" x14ac:dyDescent="0.3">
      <c r="E3" s="210" t="s">
        <v>14</v>
      </c>
      <c r="F3" s="211"/>
      <c r="G3" s="212"/>
      <c r="H3" s="25">
        <f>G47</f>
        <v>1757</v>
      </c>
      <c r="I3" s="38"/>
      <c r="J3" s="39"/>
      <c r="K3" s="41"/>
    </row>
    <row r="4" spans="1:11" ht="19.5" thickBot="1" x14ac:dyDescent="0.3">
      <c r="E4" s="210" t="s">
        <v>15</v>
      </c>
      <c r="F4" s="211"/>
      <c r="G4" s="212"/>
      <c r="H4" s="37"/>
      <c r="I4" s="42"/>
      <c r="J4" s="40"/>
      <c r="K4" s="40"/>
    </row>
    <row r="5" spans="1:11" x14ac:dyDescent="0.25">
      <c r="I5" s="20"/>
      <c r="J5" s="20"/>
    </row>
    <row r="6" spans="1:11" ht="15.75" thickBot="1" x14ac:dyDescent="0.3"/>
    <row r="7" spans="1:11" x14ac:dyDescent="0.25">
      <c r="A7" s="201" t="s">
        <v>13</v>
      </c>
      <c r="B7" s="201" t="s">
        <v>0</v>
      </c>
      <c r="C7" s="215" t="s">
        <v>1</v>
      </c>
      <c r="D7" s="217" t="s">
        <v>2</v>
      </c>
      <c r="E7" s="217"/>
      <c r="F7" s="234" t="s">
        <v>31</v>
      </c>
      <c r="G7" s="232" t="s">
        <v>3</v>
      </c>
      <c r="H7" s="199" t="s">
        <v>25</v>
      </c>
      <c r="I7" s="199" t="s">
        <v>32</v>
      </c>
      <c r="J7" s="199" t="s">
        <v>4</v>
      </c>
      <c r="K7" s="222" t="s">
        <v>8</v>
      </c>
    </row>
    <row r="8" spans="1:11" ht="15.75" thickBot="1" x14ac:dyDescent="0.3">
      <c r="A8" s="202"/>
      <c r="B8" s="202"/>
      <c r="C8" s="216"/>
      <c r="D8" s="11" t="s">
        <v>5</v>
      </c>
      <c r="E8" s="10" t="s">
        <v>6</v>
      </c>
      <c r="F8" s="235"/>
      <c r="G8" s="233"/>
      <c r="H8" s="200"/>
      <c r="I8" s="200"/>
      <c r="J8" s="200"/>
      <c r="K8" s="223"/>
    </row>
    <row r="9" spans="1:11" s="68" customFormat="1" x14ac:dyDescent="0.25">
      <c r="A9" s="46">
        <v>1</v>
      </c>
      <c r="B9" s="92">
        <v>133685</v>
      </c>
      <c r="C9" s="72">
        <v>46021</v>
      </c>
      <c r="D9" s="71">
        <v>0.25</v>
      </c>
      <c r="E9" s="70"/>
      <c r="F9" s="97">
        <v>0.24027777777777778</v>
      </c>
      <c r="G9" s="69">
        <v>50</v>
      </c>
      <c r="H9" s="84" t="s">
        <v>63</v>
      </c>
      <c r="I9" s="86"/>
      <c r="J9" s="86" t="s">
        <v>55</v>
      </c>
      <c r="K9" s="5" t="s">
        <v>10</v>
      </c>
    </row>
    <row r="10" spans="1:11" s="68" customFormat="1" x14ac:dyDescent="0.25">
      <c r="A10" s="46">
        <v>2</v>
      </c>
      <c r="B10" s="92">
        <v>133692</v>
      </c>
      <c r="C10" s="72">
        <v>46027</v>
      </c>
      <c r="D10" s="71">
        <v>0.25</v>
      </c>
      <c r="E10" s="70"/>
      <c r="F10" s="97">
        <v>0.24305555555555555</v>
      </c>
      <c r="G10" s="69">
        <v>50</v>
      </c>
      <c r="H10" s="84" t="s">
        <v>50</v>
      </c>
      <c r="I10" s="86"/>
      <c r="J10" s="86" t="s">
        <v>55</v>
      </c>
      <c r="K10" s="5" t="s">
        <v>10</v>
      </c>
    </row>
    <row r="11" spans="1:11" s="68" customFormat="1" x14ac:dyDescent="0.25">
      <c r="A11" s="46">
        <v>3</v>
      </c>
      <c r="B11" s="92">
        <v>133885</v>
      </c>
      <c r="C11" s="72">
        <v>46028</v>
      </c>
      <c r="D11" s="71">
        <v>0.25</v>
      </c>
      <c r="E11" s="70"/>
      <c r="F11" s="97">
        <v>0.24305555555555555</v>
      </c>
      <c r="G11" s="69">
        <v>50</v>
      </c>
      <c r="H11" s="84" t="s">
        <v>50</v>
      </c>
      <c r="I11" s="86"/>
      <c r="J11" s="86" t="s">
        <v>55</v>
      </c>
      <c r="K11" s="5" t="s">
        <v>10</v>
      </c>
    </row>
    <row r="12" spans="1:11" s="68" customFormat="1" x14ac:dyDescent="0.25">
      <c r="A12" s="46">
        <v>4</v>
      </c>
      <c r="B12" s="92">
        <v>136440</v>
      </c>
      <c r="C12" s="72">
        <v>46028</v>
      </c>
      <c r="D12" s="71">
        <v>0.625</v>
      </c>
      <c r="E12" s="70"/>
      <c r="F12" s="97">
        <v>0.62013888888888891</v>
      </c>
      <c r="G12" s="69">
        <v>50</v>
      </c>
      <c r="H12" s="84" t="s">
        <v>51</v>
      </c>
      <c r="I12" s="86"/>
      <c r="J12" s="86" t="s">
        <v>55</v>
      </c>
      <c r="K12" s="5" t="s">
        <v>10</v>
      </c>
    </row>
    <row r="13" spans="1:11" s="68" customFormat="1" x14ac:dyDescent="0.25">
      <c r="A13" s="46">
        <v>5</v>
      </c>
      <c r="B13" s="92">
        <v>133613</v>
      </c>
      <c r="C13" s="72">
        <v>46030</v>
      </c>
      <c r="D13" s="71">
        <v>0.625</v>
      </c>
      <c r="E13" s="70"/>
      <c r="F13" s="97">
        <v>0.61319444444444449</v>
      </c>
      <c r="G13" s="69">
        <v>50</v>
      </c>
      <c r="H13" s="84" t="s">
        <v>51</v>
      </c>
      <c r="I13" s="86"/>
      <c r="J13" s="86" t="s">
        <v>55</v>
      </c>
      <c r="K13" s="5" t="s">
        <v>10</v>
      </c>
    </row>
    <row r="14" spans="1:11" s="68" customFormat="1" x14ac:dyDescent="0.25">
      <c r="A14" s="46">
        <v>6</v>
      </c>
      <c r="B14" s="92">
        <v>133618</v>
      </c>
      <c r="C14" s="72">
        <v>46031</v>
      </c>
      <c r="D14" s="71"/>
      <c r="E14" s="70">
        <v>0</v>
      </c>
      <c r="F14" s="97"/>
      <c r="G14" s="69">
        <v>50</v>
      </c>
      <c r="H14" s="84" t="s">
        <v>51</v>
      </c>
      <c r="I14" s="86"/>
      <c r="J14" s="86" t="s">
        <v>54</v>
      </c>
      <c r="K14" s="5" t="s">
        <v>10</v>
      </c>
    </row>
    <row r="15" spans="1:11" s="68" customFormat="1" x14ac:dyDescent="0.25">
      <c r="A15" s="46">
        <v>7</v>
      </c>
      <c r="B15" s="91">
        <v>136623</v>
      </c>
      <c r="C15" s="82">
        <v>46031</v>
      </c>
      <c r="D15" s="76">
        <v>0.58333333333333337</v>
      </c>
      <c r="E15" s="80"/>
      <c r="F15" s="47">
        <v>0.5708333333333333</v>
      </c>
      <c r="G15" s="81">
        <v>50</v>
      </c>
      <c r="H15" s="86" t="s">
        <v>51</v>
      </c>
      <c r="I15" s="86"/>
      <c r="J15" s="86" t="s">
        <v>55</v>
      </c>
      <c r="K15" s="5" t="s">
        <v>10</v>
      </c>
    </row>
    <row r="16" spans="1:11" s="68" customFormat="1" x14ac:dyDescent="0.25">
      <c r="A16" s="46">
        <v>8</v>
      </c>
      <c r="B16" s="92">
        <v>136625</v>
      </c>
      <c r="C16" s="72">
        <v>46031</v>
      </c>
      <c r="D16" s="71"/>
      <c r="E16" s="70">
        <v>0.91666666666666663</v>
      </c>
      <c r="F16" s="97"/>
      <c r="G16" s="69">
        <v>50</v>
      </c>
      <c r="H16" s="84" t="s">
        <v>51</v>
      </c>
      <c r="I16" s="86"/>
      <c r="J16" s="86" t="s">
        <v>54</v>
      </c>
      <c r="K16" s="5" t="s">
        <v>10</v>
      </c>
    </row>
    <row r="17" spans="1:11" s="68" customFormat="1" x14ac:dyDescent="0.25">
      <c r="A17" s="46">
        <v>9</v>
      </c>
      <c r="B17" s="92">
        <v>136630</v>
      </c>
      <c r="C17" s="72">
        <v>46034</v>
      </c>
      <c r="D17" s="71">
        <v>0.25</v>
      </c>
      <c r="E17" s="70"/>
      <c r="F17" s="97">
        <v>0.24444444444444446</v>
      </c>
      <c r="G17" s="69">
        <v>50</v>
      </c>
      <c r="H17" s="84" t="s">
        <v>95</v>
      </c>
      <c r="I17" s="86"/>
      <c r="J17" s="86" t="s">
        <v>55</v>
      </c>
      <c r="K17" s="5" t="s">
        <v>10</v>
      </c>
    </row>
    <row r="18" spans="1:11" s="68" customFormat="1" x14ac:dyDescent="0.25">
      <c r="A18" s="46">
        <v>10</v>
      </c>
      <c r="B18" s="92">
        <v>133543</v>
      </c>
      <c r="C18" s="72">
        <v>46036</v>
      </c>
      <c r="D18" s="71"/>
      <c r="E18" s="70">
        <v>0.70833333333333337</v>
      </c>
      <c r="F18" s="97"/>
      <c r="G18" s="69">
        <v>50</v>
      </c>
      <c r="H18" s="84" t="s">
        <v>95</v>
      </c>
      <c r="I18" s="86"/>
      <c r="J18" s="86" t="s">
        <v>54</v>
      </c>
      <c r="K18" s="5" t="s">
        <v>10</v>
      </c>
    </row>
    <row r="19" spans="1:11" s="68" customFormat="1" ht="15.75" thickBot="1" x14ac:dyDescent="0.3">
      <c r="A19" s="46">
        <v>11</v>
      </c>
      <c r="B19" s="93">
        <v>136637</v>
      </c>
      <c r="C19" s="77">
        <v>46037</v>
      </c>
      <c r="D19" s="73">
        <v>0.25</v>
      </c>
      <c r="E19" s="74"/>
      <c r="F19" s="49">
        <v>0.23958333333333334</v>
      </c>
      <c r="G19" s="75">
        <v>50</v>
      </c>
      <c r="H19" s="85" t="s">
        <v>95</v>
      </c>
      <c r="I19" s="85"/>
      <c r="J19" s="85" t="s">
        <v>55</v>
      </c>
      <c r="K19" s="79" t="s">
        <v>10</v>
      </c>
    </row>
    <row r="20" spans="1:11" s="68" customFormat="1" x14ac:dyDescent="0.25">
      <c r="A20" s="46">
        <v>12</v>
      </c>
      <c r="B20" s="91">
        <v>133958</v>
      </c>
      <c r="C20" s="82">
        <v>46387</v>
      </c>
      <c r="D20" s="76"/>
      <c r="E20" s="80">
        <v>0.54166666666666663</v>
      </c>
      <c r="F20" s="47"/>
      <c r="G20" s="81">
        <v>50</v>
      </c>
      <c r="H20" s="86" t="s">
        <v>63</v>
      </c>
      <c r="I20" s="86"/>
      <c r="J20" s="86" t="s">
        <v>54</v>
      </c>
      <c r="K20" s="83" t="s">
        <v>43</v>
      </c>
    </row>
    <row r="21" spans="1:11" s="68" customFormat="1" x14ac:dyDescent="0.25">
      <c r="A21" s="46">
        <v>13</v>
      </c>
      <c r="B21" s="92">
        <v>133969</v>
      </c>
      <c r="C21" s="72">
        <v>46028</v>
      </c>
      <c r="D21" s="71"/>
      <c r="E21" s="70">
        <v>0.625</v>
      </c>
      <c r="F21" s="97"/>
      <c r="G21" s="69">
        <v>50</v>
      </c>
      <c r="H21" s="84" t="s">
        <v>50</v>
      </c>
      <c r="I21" s="84"/>
      <c r="J21" s="84" t="s">
        <v>54</v>
      </c>
      <c r="K21" s="5" t="s">
        <v>43</v>
      </c>
    </row>
    <row r="22" spans="1:11" s="68" customFormat="1" ht="15.75" thickBot="1" x14ac:dyDescent="0.3">
      <c r="A22" s="46">
        <v>14</v>
      </c>
      <c r="B22" s="93">
        <v>136801</v>
      </c>
      <c r="C22" s="77">
        <v>46035</v>
      </c>
      <c r="D22" s="73"/>
      <c r="E22" s="74">
        <v>0.625</v>
      </c>
      <c r="F22" s="49"/>
      <c r="G22" s="75">
        <v>50</v>
      </c>
      <c r="H22" s="85" t="s">
        <v>213</v>
      </c>
      <c r="I22" s="85"/>
      <c r="J22" s="85" t="s">
        <v>54</v>
      </c>
      <c r="K22" s="79" t="s">
        <v>43</v>
      </c>
    </row>
    <row r="23" spans="1:11" s="68" customFormat="1" x14ac:dyDescent="0.25">
      <c r="A23" s="46">
        <v>15</v>
      </c>
      <c r="B23" s="92">
        <v>133453</v>
      </c>
      <c r="C23" s="72">
        <v>46020</v>
      </c>
      <c r="D23" s="71" t="s">
        <v>264</v>
      </c>
      <c r="E23" s="70"/>
      <c r="F23" s="97" t="s">
        <v>444</v>
      </c>
      <c r="G23" s="69">
        <v>50</v>
      </c>
      <c r="H23" s="84" t="s">
        <v>63</v>
      </c>
      <c r="I23" s="86"/>
      <c r="J23" s="86" t="s">
        <v>55</v>
      </c>
      <c r="K23" s="83" t="s">
        <v>12</v>
      </c>
    </row>
    <row r="24" spans="1:11" s="68" customFormat="1" x14ac:dyDescent="0.25">
      <c r="A24" s="46">
        <v>16</v>
      </c>
      <c r="B24" s="92">
        <v>136296</v>
      </c>
      <c r="C24" s="72">
        <v>46020</v>
      </c>
      <c r="D24" s="71"/>
      <c r="E24" s="70" t="s">
        <v>333</v>
      </c>
      <c r="F24" s="97"/>
      <c r="G24" s="69">
        <v>50</v>
      </c>
      <c r="H24" s="84" t="s">
        <v>63</v>
      </c>
      <c r="I24" s="84"/>
      <c r="J24" s="84" t="s">
        <v>54</v>
      </c>
      <c r="K24" s="5" t="s">
        <v>12</v>
      </c>
    </row>
    <row r="25" spans="1:11" s="68" customFormat="1" x14ac:dyDescent="0.25">
      <c r="A25" s="46">
        <v>17</v>
      </c>
      <c r="B25" s="92">
        <v>133470</v>
      </c>
      <c r="C25" s="72">
        <v>46022</v>
      </c>
      <c r="D25" s="71" t="s">
        <v>264</v>
      </c>
      <c r="E25" s="70"/>
      <c r="F25" s="97" t="s">
        <v>444</v>
      </c>
      <c r="G25" s="69">
        <v>50</v>
      </c>
      <c r="H25" s="84" t="s">
        <v>63</v>
      </c>
      <c r="I25" s="84"/>
      <c r="J25" s="84" t="s">
        <v>55</v>
      </c>
      <c r="K25" s="5" t="s">
        <v>12</v>
      </c>
    </row>
    <row r="26" spans="1:11" s="68" customFormat="1" x14ac:dyDescent="0.25">
      <c r="A26" s="46">
        <v>18</v>
      </c>
      <c r="B26" s="92">
        <v>134017</v>
      </c>
      <c r="C26" s="72">
        <v>46027</v>
      </c>
      <c r="D26" s="71"/>
      <c r="E26" s="70" t="s">
        <v>333</v>
      </c>
      <c r="F26" s="97"/>
      <c r="G26" s="69">
        <v>50</v>
      </c>
      <c r="H26" s="84" t="s">
        <v>485</v>
      </c>
      <c r="I26" s="84"/>
      <c r="J26" s="84" t="s">
        <v>54</v>
      </c>
      <c r="K26" s="5" t="s">
        <v>12</v>
      </c>
    </row>
    <row r="27" spans="1:11" s="68" customFormat="1" x14ac:dyDescent="0.25">
      <c r="A27" s="46">
        <v>19</v>
      </c>
      <c r="B27" s="92">
        <v>133478</v>
      </c>
      <c r="C27" s="72">
        <v>46027</v>
      </c>
      <c r="D27" s="71"/>
      <c r="E27" s="70" t="s">
        <v>251</v>
      </c>
      <c r="F27" s="97"/>
      <c r="G27" s="69">
        <v>50</v>
      </c>
      <c r="H27" s="84" t="s">
        <v>486</v>
      </c>
      <c r="I27" s="84"/>
      <c r="J27" s="84" t="s">
        <v>54</v>
      </c>
      <c r="K27" s="5" t="s">
        <v>12</v>
      </c>
    </row>
    <row r="28" spans="1:11" s="68" customFormat="1" x14ac:dyDescent="0.25">
      <c r="A28" s="46">
        <v>20</v>
      </c>
      <c r="B28" s="92">
        <v>133484</v>
      </c>
      <c r="C28" s="72">
        <v>46028</v>
      </c>
      <c r="D28" s="71"/>
      <c r="E28" s="70" t="s">
        <v>251</v>
      </c>
      <c r="F28" s="97"/>
      <c r="G28" s="69">
        <v>50</v>
      </c>
      <c r="H28" s="84" t="s">
        <v>486</v>
      </c>
      <c r="I28" s="84"/>
      <c r="J28" s="84" t="s">
        <v>54</v>
      </c>
      <c r="K28" s="5" t="s">
        <v>12</v>
      </c>
    </row>
    <row r="29" spans="1:11" s="68" customFormat="1" x14ac:dyDescent="0.25">
      <c r="A29" s="46">
        <v>21</v>
      </c>
      <c r="B29" s="92">
        <v>133485</v>
      </c>
      <c r="C29" s="72">
        <v>46029</v>
      </c>
      <c r="D29" s="71" t="s">
        <v>264</v>
      </c>
      <c r="E29" s="70"/>
      <c r="F29" s="97" t="s">
        <v>444</v>
      </c>
      <c r="G29" s="69">
        <v>50</v>
      </c>
      <c r="H29" s="84" t="s">
        <v>485</v>
      </c>
      <c r="I29" s="84"/>
      <c r="J29" s="84" t="s">
        <v>55</v>
      </c>
      <c r="K29" s="5" t="s">
        <v>12</v>
      </c>
    </row>
    <row r="30" spans="1:11" s="68" customFormat="1" x14ac:dyDescent="0.25">
      <c r="A30" s="46">
        <v>22</v>
      </c>
      <c r="B30" s="92">
        <v>133491</v>
      </c>
      <c r="C30" s="72">
        <v>46029</v>
      </c>
      <c r="D30" s="71"/>
      <c r="E30" s="70" t="s">
        <v>251</v>
      </c>
      <c r="F30" s="97"/>
      <c r="G30" s="69">
        <v>50</v>
      </c>
      <c r="H30" s="84" t="s">
        <v>486</v>
      </c>
      <c r="I30" s="84"/>
      <c r="J30" s="84" t="s">
        <v>54</v>
      </c>
      <c r="K30" s="5" t="s">
        <v>12</v>
      </c>
    </row>
    <row r="31" spans="1:11" s="68" customFormat="1" x14ac:dyDescent="0.25">
      <c r="A31" s="46">
        <v>23</v>
      </c>
      <c r="B31" s="92">
        <v>133492</v>
      </c>
      <c r="C31" s="72">
        <v>46030</v>
      </c>
      <c r="D31" s="71" t="s">
        <v>264</v>
      </c>
      <c r="E31" s="70"/>
      <c r="F31" s="97" t="s">
        <v>487</v>
      </c>
      <c r="G31" s="69">
        <v>50</v>
      </c>
      <c r="H31" s="84" t="s">
        <v>485</v>
      </c>
      <c r="I31" s="84"/>
      <c r="J31" s="84" t="s">
        <v>55</v>
      </c>
      <c r="K31" s="5" t="s">
        <v>12</v>
      </c>
    </row>
    <row r="32" spans="1:11" s="68" customFormat="1" x14ac:dyDescent="0.25">
      <c r="A32" s="46">
        <v>24</v>
      </c>
      <c r="B32" s="92">
        <v>136719</v>
      </c>
      <c r="C32" s="72">
        <v>46035</v>
      </c>
      <c r="D32" s="71" t="s">
        <v>264</v>
      </c>
      <c r="E32" s="70"/>
      <c r="F32" s="97" t="s">
        <v>264</v>
      </c>
      <c r="G32" s="69">
        <v>50</v>
      </c>
      <c r="H32" s="84" t="s">
        <v>213</v>
      </c>
      <c r="I32" s="84"/>
      <c r="J32" s="84" t="s">
        <v>55</v>
      </c>
      <c r="K32" s="5" t="s">
        <v>12</v>
      </c>
    </row>
    <row r="33" spans="1:11" s="68" customFormat="1" ht="15.75" thickBot="1" x14ac:dyDescent="0.3">
      <c r="A33" s="46">
        <v>25</v>
      </c>
      <c r="B33" s="93">
        <v>136727</v>
      </c>
      <c r="C33" s="77">
        <v>46036</v>
      </c>
      <c r="D33" s="73" t="s">
        <v>264</v>
      </c>
      <c r="E33" s="74"/>
      <c r="F33" s="49" t="s">
        <v>420</v>
      </c>
      <c r="G33" s="75">
        <v>50</v>
      </c>
      <c r="H33" s="85" t="s">
        <v>213</v>
      </c>
      <c r="I33" s="85"/>
      <c r="J33" s="85" t="s">
        <v>55</v>
      </c>
      <c r="K33" s="79" t="s">
        <v>12</v>
      </c>
    </row>
    <row r="34" spans="1:11" s="68" customFormat="1" x14ac:dyDescent="0.25">
      <c r="A34" s="46">
        <v>26</v>
      </c>
      <c r="B34" s="91">
        <v>136501</v>
      </c>
      <c r="C34" s="82">
        <v>46027</v>
      </c>
      <c r="D34" s="76" t="s">
        <v>333</v>
      </c>
      <c r="E34" s="80"/>
      <c r="F34" s="47" t="s">
        <v>429</v>
      </c>
      <c r="G34" s="81">
        <v>50</v>
      </c>
      <c r="H34" s="86" t="s">
        <v>486</v>
      </c>
      <c r="I34" s="84"/>
      <c r="J34" s="84" t="s">
        <v>55</v>
      </c>
      <c r="K34" s="5" t="s">
        <v>58</v>
      </c>
    </row>
    <row r="35" spans="1:11" s="68" customFormat="1" x14ac:dyDescent="0.25">
      <c r="A35" s="46">
        <v>27</v>
      </c>
      <c r="B35" s="91">
        <v>136525</v>
      </c>
      <c r="C35" s="82">
        <v>46031</v>
      </c>
      <c r="D35" s="76"/>
      <c r="E35" s="80" t="s">
        <v>282</v>
      </c>
      <c r="F35" s="47"/>
      <c r="G35" s="81">
        <v>50</v>
      </c>
      <c r="H35" s="86" t="s">
        <v>485</v>
      </c>
      <c r="I35" s="84"/>
      <c r="J35" s="84" t="s">
        <v>54</v>
      </c>
      <c r="K35" s="5" t="s">
        <v>58</v>
      </c>
    </row>
    <row r="36" spans="1:11" s="68" customFormat="1" ht="15.75" thickBot="1" x14ac:dyDescent="0.3">
      <c r="A36" s="46">
        <v>28</v>
      </c>
      <c r="B36" s="93">
        <v>136545</v>
      </c>
      <c r="C36" s="77">
        <v>46037</v>
      </c>
      <c r="D36" s="73"/>
      <c r="E36" s="74" t="s">
        <v>333</v>
      </c>
      <c r="F36" s="49"/>
      <c r="G36" s="75">
        <v>50</v>
      </c>
      <c r="H36" s="85" t="s">
        <v>213</v>
      </c>
      <c r="I36" s="85"/>
      <c r="J36" s="85" t="s">
        <v>54</v>
      </c>
      <c r="K36" s="79" t="s">
        <v>58</v>
      </c>
    </row>
    <row r="37" spans="1:11" s="68" customFormat="1" x14ac:dyDescent="0.25">
      <c r="A37" s="46">
        <v>29</v>
      </c>
      <c r="B37" s="91">
        <v>133510</v>
      </c>
      <c r="C37" s="82">
        <v>46386</v>
      </c>
      <c r="D37" s="76"/>
      <c r="E37" s="80">
        <v>0.70833333333333337</v>
      </c>
      <c r="F37" s="47"/>
      <c r="G37" s="81">
        <v>50</v>
      </c>
      <c r="H37" s="86" t="s">
        <v>50</v>
      </c>
      <c r="I37" s="86"/>
      <c r="J37" s="86" t="s">
        <v>54</v>
      </c>
      <c r="K37" s="83" t="s">
        <v>44</v>
      </c>
    </row>
    <row r="38" spans="1:11" s="68" customFormat="1" x14ac:dyDescent="0.25">
      <c r="A38" s="46">
        <v>30</v>
      </c>
      <c r="B38" s="92">
        <v>133520</v>
      </c>
      <c r="C38" s="72">
        <v>46031</v>
      </c>
      <c r="D38" s="71">
        <v>0.25</v>
      </c>
      <c r="E38" s="70"/>
      <c r="F38" s="97">
        <v>0.23958333333333334</v>
      </c>
      <c r="G38" s="69">
        <v>50</v>
      </c>
      <c r="H38" s="84" t="s">
        <v>50</v>
      </c>
      <c r="I38" s="84"/>
      <c r="J38" s="84" t="s">
        <v>55</v>
      </c>
      <c r="K38" s="5" t="s">
        <v>44</v>
      </c>
    </row>
    <row r="39" spans="1:11" s="68" customFormat="1" x14ac:dyDescent="0.25">
      <c r="A39" s="46">
        <v>31</v>
      </c>
      <c r="B39" s="92">
        <v>133530</v>
      </c>
      <c r="C39" s="72">
        <v>46034</v>
      </c>
      <c r="D39" s="71"/>
      <c r="E39" s="70">
        <v>0.625</v>
      </c>
      <c r="F39" s="97"/>
      <c r="G39" s="69">
        <v>50</v>
      </c>
      <c r="H39" s="84" t="s">
        <v>95</v>
      </c>
      <c r="I39" s="84"/>
      <c r="J39" s="84" t="s">
        <v>54</v>
      </c>
      <c r="K39" s="5" t="s">
        <v>44</v>
      </c>
    </row>
    <row r="40" spans="1:11" s="68" customFormat="1" ht="15.75" thickBot="1" x14ac:dyDescent="0.3">
      <c r="A40" s="46">
        <v>32</v>
      </c>
      <c r="B40" s="92">
        <v>136472</v>
      </c>
      <c r="C40" s="72">
        <v>46036</v>
      </c>
      <c r="D40" s="71"/>
      <c r="E40" s="70">
        <v>0.625</v>
      </c>
      <c r="F40" s="97"/>
      <c r="G40" s="69">
        <v>7</v>
      </c>
      <c r="H40" s="84" t="s">
        <v>50</v>
      </c>
      <c r="I40" s="84"/>
      <c r="J40" s="160" t="s">
        <v>516</v>
      </c>
      <c r="K40" s="5" t="s">
        <v>44</v>
      </c>
    </row>
    <row r="41" spans="1:11" s="68" customFormat="1" ht="15.75" thickBot="1" x14ac:dyDescent="0.3">
      <c r="A41" s="46">
        <v>33</v>
      </c>
      <c r="B41" s="124">
        <v>136316</v>
      </c>
      <c r="C41" s="125">
        <v>46029</v>
      </c>
      <c r="D41" s="126" t="s">
        <v>333</v>
      </c>
      <c r="E41" s="127"/>
      <c r="F41" s="132" t="s">
        <v>488</v>
      </c>
      <c r="G41" s="128">
        <v>50</v>
      </c>
      <c r="H41" s="129" t="s">
        <v>486</v>
      </c>
      <c r="I41" s="129"/>
      <c r="J41" s="129" t="s">
        <v>55</v>
      </c>
      <c r="K41" s="130" t="s">
        <v>47</v>
      </c>
    </row>
    <row r="42" spans="1:11" s="68" customFormat="1" ht="15.75" thickBot="1" x14ac:dyDescent="0.3">
      <c r="A42" s="46">
        <v>34</v>
      </c>
      <c r="B42" s="124">
        <v>134040</v>
      </c>
      <c r="C42" s="125">
        <v>46030</v>
      </c>
      <c r="D42" s="126"/>
      <c r="E42" s="127" t="s">
        <v>333</v>
      </c>
      <c r="F42" s="132"/>
      <c r="G42" s="128">
        <v>50</v>
      </c>
      <c r="H42" s="129" t="s">
        <v>485</v>
      </c>
      <c r="I42" s="129"/>
      <c r="J42" s="129" t="s">
        <v>54</v>
      </c>
      <c r="K42" s="130" t="s">
        <v>46</v>
      </c>
    </row>
    <row r="43" spans="1:11" s="68" customFormat="1" x14ac:dyDescent="0.25">
      <c r="A43" s="46">
        <v>35</v>
      </c>
      <c r="B43" s="111">
        <v>133873</v>
      </c>
      <c r="C43" s="6">
        <v>46021</v>
      </c>
      <c r="D43" s="7"/>
      <c r="E43" s="8">
        <v>0.625</v>
      </c>
      <c r="F43" s="48"/>
      <c r="G43" s="9">
        <v>50</v>
      </c>
      <c r="H43" s="16" t="s">
        <v>110</v>
      </c>
      <c r="I43" s="16"/>
      <c r="J43" s="16" t="s">
        <v>54</v>
      </c>
      <c r="K43" s="116" t="s">
        <v>49</v>
      </c>
    </row>
    <row r="44" spans="1:11" s="68" customFormat="1" ht="15.75" thickBot="1" x14ac:dyDescent="0.3">
      <c r="A44" s="107">
        <v>36</v>
      </c>
      <c r="B44" s="93">
        <v>133892</v>
      </c>
      <c r="C44" s="77">
        <v>46029</v>
      </c>
      <c r="D44" s="73"/>
      <c r="E44" s="74">
        <v>0.70833333333333337</v>
      </c>
      <c r="F44" s="49"/>
      <c r="G44" s="75">
        <v>50</v>
      </c>
      <c r="H44" s="85" t="s">
        <v>50</v>
      </c>
      <c r="I44" s="85"/>
      <c r="J44" s="85" t="s">
        <v>54</v>
      </c>
      <c r="K44" s="79" t="s">
        <v>49</v>
      </c>
    </row>
    <row r="45" spans="1:11" ht="45.75" thickBot="1" x14ac:dyDescent="0.3">
      <c r="A45" s="87"/>
      <c r="F45" s="64" t="s">
        <v>3</v>
      </c>
      <c r="G45" s="58">
        <f>SUM(G9:G44)</f>
        <v>1757</v>
      </c>
      <c r="H45" s="17"/>
      <c r="I45" s="51">
        <f>SUM(I20:I44)</f>
        <v>0</v>
      </c>
      <c r="J45" s="17"/>
    </row>
    <row r="46" spans="1:11" ht="15.75" thickBot="1" x14ac:dyDescent="0.3">
      <c r="D46" s="220" t="s">
        <v>48</v>
      </c>
      <c r="E46" s="220"/>
      <c r="F46" s="221"/>
      <c r="G46" s="50"/>
      <c r="I46" s="36" t="s">
        <v>32</v>
      </c>
    </row>
    <row r="47" spans="1:11" ht="21.75" thickBot="1" x14ac:dyDescent="0.3">
      <c r="D47" s="13"/>
      <c r="E47" s="197" t="s">
        <v>28</v>
      </c>
      <c r="F47" s="198"/>
      <c r="G47" s="14">
        <f>SUM(G45:G46)</f>
        <v>1757</v>
      </c>
    </row>
  </sheetData>
  <mergeCells count="14">
    <mergeCell ref="D46:F46"/>
    <mergeCell ref="E47:F47"/>
    <mergeCell ref="K7:K8"/>
    <mergeCell ref="A7:A8"/>
    <mergeCell ref="E3:G3"/>
    <mergeCell ref="E4:G4"/>
    <mergeCell ref="B7:B8"/>
    <mergeCell ref="C7:C8"/>
    <mergeCell ref="D7:E7"/>
    <mergeCell ref="G7:G8"/>
    <mergeCell ref="H7:H8"/>
    <mergeCell ref="F7:F8"/>
    <mergeCell ref="I7:I8"/>
    <mergeCell ref="J7:J8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2:K17"/>
  <sheetViews>
    <sheetView showGridLines="0" zoomScale="70" zoomScaleNormal="70" workbookViewId="0">
      <selection activeCell="H26" sqref="H26"/>
    </sheetView>
  </sheetViews>
  <sheetFormatPr baseColWidth="10" defaultColWidth="11.42578125" defaultRowHeight="15" x14ac:dyDescent="0.25"/>
  <cols>
    <col min="1" max="1" width="3.7109375" style="13" bestFit="1" customWidth="1"/>
    <col min="2" max="2" width="12.85546875" style="13" customWidth="1"/>
    <col min="3" max="5" width="11.42578125" style="13"/>
    <col min="6" max="6" width="12.5703125" style="13" customWidth="1"/>
    <col min="7" max="7" width="13.28515625" style="13" customWidth="1"/>
    <col min="8" max="8" width="56.7109375" style="13" customWidth="1"/>
    <col min="9" max="9" width="10.7109375" style="13" customWidth="1"/>
    <col min="10" max="10" width="42.28515625" style="13" bestFit="1" customWidth="1"/>
    <col min="11" max="11" width="23.85546875" style="13" bestFit="1" customWidth="1"/>
    <col min="12" max="16384" width="11.42578125" style="13"/>
  </cols>
  <sheetData>
    <row r="2" spans="1:11" ht="15.75" thickBot="1" x14ac:dyDescent="0.3">
      <c r="J2" s="20"/>
    </row>
    <row r="3" spans="1:11" ht="19.5" customHeight="1" thickBot="1" x14ac:dyDescent="0.3">
      <c r="E3" s="210" t="s">
        <v>14</v>
      </c>
      <c r="F3" s="211"/>
      <c r="G3" s="212"/>
      <c r="H3" s="25">
        <f>G17</f>
        <v>757.66</v>
      </c>
      <c r="I3" s="38"/>
      <c r="J3" s="39"/>
      <c r="K3" s="41"/>
    </row>
    <row r="4" spans="1:11" ht="19.5" thickBot="1" x14ac:dyDescent="0.3">
      <c r="E4" s="210" t="s">
        <v>15</v>
      </c>
      <c r="F4" s="211"/>
      <c r="G4" s="212"/>
      <c r="H4" s="37"/>
      <c r="I4" s="42"/>
      <c r="J4" s="40"/>
      <c r="K4" s="40"/>
    </row>
    <row r="5" spans="1:11" x14ac:dyDescent="0.25">
      <c r="I5" s="20"/>
      <c r="J5" s="20"/>
    </row>
    <row r="6" spans="1:11" ht="15.75" thickBot="1" x14ac:dyDescent="0.3"/>
    <row r="7" spans="1:11" x14ac:dyDescent="0.25">
      <c r="A7" s="201" t="s">
        <v>13</v>
      </c>
      <c r="B7" s="201" t="s">
        <v>0</v>
      </c>
      <c r="C7" s="215" t="s">
        <v>1</v>
      </c>
      <c r="D7" s="217" t="s">
        <v>2</v>
      </c>
      <c r="E7" s="217"/>
      <c r="F7" s="234" t="s">
        <v>31</v>
      </c>
      <c r="G7" s="232" t="s">
        <v>3</v>
      </c>
      <c r="H7" s="199" t="s">
        <v>25</v>
      </c>
      <c r="I7" s="199" t="s">
        <v>32</v>
      </c>
      <c r="J7" s="199" t="s">
        <v>4</v>
      </c>
      <c r="K7" s="222" t="s">
        <v>8</v>
      </c>
    </row>
    <row r="8" spans="1:11" ht="15.75" thickBot="1" x14ac:dyDescent="0.3">
      <c r="A8" s="202"/>
      <c r="B8" s="202"/>
      <c r="C8" s="216"/>
      <c r="D8" s="11" t="s">
        <v>5</v>
      </c>
      <c r="E8" s="10" t="s">
        <v>6</v>
      </c>
      <c r="F8" s="235"/>
      <c r="G8" s="233"/>
      <c r="H8" s="200"/>
      <c r="I8" s="200"/>
      <c r="J8" s="200"/>
      <c r="K8" s="223"/>
    </row>
    <row r="9" spans="1:11" s="68" customFormat="1" x14ac:dyDescent="0.25">
      <c r="A9" s="117">
        <v>1</v>
      </c>
      <c r="B9" s="111">
        <v>136620</v>
      </c>
      <c r="C9" s="6">
        <v>46031</v>
      </c>
      <c r="D9" s="7">
        <v>0.27083333333333331</v>
      </c>
      <c r="E9" s="8"/>
      <c r="F9" s="141"/>
      <c r="G9" s="9">
        <v>107</v>
      </c>
      <c r="H9" s="142" t="s">
        <v>88</v>
      </c>
      <c r="I9" s="9"/>
      <c r="J9" s="9" t="s">
        <v>60</v>
      </c>
      <c r="K9" s="116" t="s">
        <v>10</v>
      </c>
    </row>
    <row r="10" spans="1:11" s="68" customFormat="1" x14ac:dyDescent="0.25">
      <c r="A10" s="115">
        <v>2</v>
      </c>
      <c r="B10" s="91">
        <v>136635</v>
      </c>
      <c r="C10" s="82">
        <v>46035</v>
      </c>
      <c r="D10" s="76"/>
      <c r="E10" s="80">
        <v>0.33333333333333331</v>
      </c>
      <c r="F10" s="145"/>
      <c r="G10" s="81">
        <v>209</v>
      </c>
      <c r="H10" s="146" t="s">
        <v>99</v>
      </c>
      <c r="I10" s="86">
        <v>90</v>
      </c>
      <c r="J10" s="162" t="s">
        <v>100</v>
      </c>
      <c r="K10" s="83" t="s">
        <v>10</v>
      </c>
    </row>
    <row r="11" spans="1:11" s="68" customFormat="1" ht="15.75" thickBot="1" x14ac:dyDescent="0.3">
      <c r="A11" s="115">
        <v>3</v>
      </c>
      <c r="B11" s="93">
        <v>136636</v>
      </c>
      <c r="C11" s="77">
        <v>46036</v>
      </c>
      <c r="D11" s="73"/>
      <c r="E11" s="74">
        <v>0.6875</v>
      </c>
      <c r="F11" s="158"/>
      <c r="G11" s="75">
        <v>105</v>
      </c>
      <c r="H11" s="159" t="s">
        <v>179</v>
      </c>
      <c r="I11" s="85"/>
      <c r="J11" s="85" t="s">
        <v>180</v>
      </c>
      <c r="K11" s="79" t="s">
        <v>10</v>
      </c>
    </row>
    <row r="12" spans="1:11" s="68" customFormat="1" x14ac:dyDescent="0.25">
      <c r="A12" s="115">
        <v>4</v>
      </c>
      <c r="B12" s="111">
        <v>136711</v>
      </c>
      <c r="C12" s="6">
        <v>46034</v>
      </c>
      <c r="D12" s="7" t="s">
        <v>264</v>
      </c>
      <c r="E12" s="8"/>
      <c r="F12" s="141"/>
      <c r="G12" s="9">
        <v>105</v>
      </c>
      <c r="H12" s="142" t="s">
        <v>489</v>
      </c>
      <c r="I12" s="9"/>
      <c r="J12" s="9" t="s">
        <v>60</v>
      </c>
      <c r="K12" s="116" t="s">
        <v>12</v>
      </c>
    </row>
    <row r="13" spans="1:11" s="68" customFormat="1" x14ac:dyDescent="0.25">
      <c r="A13" s="115">
        <v>5</v>
      </c>
      <c r="B13" s="92">
        <v>136730</v>
      </c>
      <c r="C13" s="72">
        <v>46036</v>
      </c>
      <c r="D13" s="71" t="s">
        <v>241</v>
      </c>
      <c r="E13" s="70"/>
      <c r="F13" s="143"/>
      <c r="G13" s="69">
        <v>108.9</v>
      </c>
      <c r="H13" s="144" t="s">
        <v>490</v>
      </c>
      <c r="I13" s="84"/>
      <c r="J13" s="84" t="s">
        <v>60</v>
      </c>
      <c r="K13" s="5" t="s">
        <v>12</v>
      </c>
    </row>
    <row r="14" spans="1:11" s="68" customFormat="1" ht="15.75" thickBot="1" x14ac:dyDescent="0.3">
      <c r="A14" s="113">
        <v>6</v>
      </c>
      <c r="B14" s="93">
        <v>136732</v>
      </c>
      <c r="C14" s="77">
        <v>46036</v>
      </c>
      <c r="D14" s="73"/>
      <c r="E14" s="74" t="s">
        <v>333</v>
      </c>
      <c r="F14" s="158"/>
      <c r="G14" s="75">
        <v>108.9</v>
      </c>
      <c r="H14" s="159" t="s">
        <v>491</v>
      </c>
      <c r="I14" s="85"/>
      <c r="J14" s="85" t="s">
        <v>180</v>
      </c>
      <c r="K14" s="79" t="s">
        <v>12</v>
      </c>
    </row>
    <row r="15" spans="1:11" ht="28.5" customHeight="1" thickBot="1" x14ac:dyDescent="0.3">
      <c r="A15" s="87"/>
      <c r="F15" s="122" t="s">
        <v>3</v>
      </c>
      <c r="G15" s="58">
        <f>SUM(G9:G14)</f>
        <v>743.8</v>
      </c>
      <c r="H15" s="17"/>
      <c r="I15" s="51">
        <f>SUM(I9:I14)</f>
        <v>90</v>
      </c>
      <c r="J15" s="17"/>
      <c r="K15" s="87"/>
    </row>
    <row r="16" spans="1:11" ht="15.75" thickBot="1" x14ac:dyDescent="0.3">
      <c r="D16" s="220" t="s">
        <v>48</v>
      </c>
      <c r="E16" s="220"/>
      <c r="F16" s="221"/>
      <c r="G16" s="50">
        <v>13.86</v>
      </c>
      <c r="I16" s="62" t="s">
        <v>32</v>
      </c>
    </row>
    <row r="17" spans="5:7" ht="21.75" thickBot="1" x14ac:dyDescent="0.3">
      <c r="E17" s="197" t="s">
        <v>28</v>
      </c>
      <c r="F17" s="198"/>
      <c r="G17" s="14">
        <f>SUM(G15:G16)</f>
        <v>757.66</v>
      </c>
    </row>
  </sheetData>
  <mergeCells count="14">
    <mergeCell ref="E17:F17"/>
    <mergeCell ref="E3:G3"/>
    <mergeCell ref="E4:G4"/>
    <mergeCell ref="A7:A8"/>
    <mergeCell ref="B7:B8"/>
    <mergeCell ref="C7:C8"/>
    <mergeCell ref="D7:E7"/>
    <mergeCell ref="F7:F8"/>
    <mergeCell ref="G7:G8"/>
    <mergeCell ref="H7:H8"/>
    <mergeCell ref="I7:I8"/>
    <mergeCell ref="J7:J8"/>
    <mergeCell ref="K7:K8"/>
    <mergeCell ref="D16:F16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J36"/>
  <sheetViews>
    <sheetView showGridLines="0" topLeftCell="A4" zoomScale="70" zoomScaleNormal="70" workbookViewId="0">
      <selection activeCell="K19" sqref="K19"/>
    </sheetView>
  </sheetViews>
  <sheetFormatPr baseColWidth="10" defaultColWidth="11.42578125" defaultRowHeight="15" x14ac:dyDescent="0.25"/>
  <cols>
    <col min="1" max="1" width="14.42578125" style="13" bestFit="1" customWidth="1"/>
    <col min="2" max="3" width="11.42578125" style="13"/>
    <col min="4" max="4" width="13.5703125" style="13" bestFit="1" customWidth="1"/>
    <col min="5" max="8" width="11.42578125" style="13"/>
    <col min="9" max="9" width="17.42578125" style="13" customWidth="1"/>
    <col min="10" max="16384" width="11.42578125" style="13"/>
  </cols>
  <sheetData>
    <row r="1" spans="1:8" ht="15.75" thickBot="1" x14ac:dyDescent="0.3"/>
    <row r="2" spans="1:8" ht="21.75" thickBot="1" x14ac:dyDescent="0.3">
      <c r="C2" s="272" t="s">
        <v>41</v>
      </c>
      <c r="D2" s="273"/>
      <c r="E2" s="12">
        <f>F35</f>
        <v>94</v>
      </c>
    </row>
    <row r="3" spans="1:8" x14ac:dyDescent="0.25">
      <c r="C3" s="272" t="s">
        <v>14</v>
      </c>
      <c r="D3" s="273"/>
      <c r="E3" s="57"/>
    </row>
    <row r="4" spans="1:8" ht="15.75" thickBot="1" x14ac:dyDescent="0.3">
      <c r="C4" s="56" t="s">
        <v>15</v>
      </c>
      <c r="D4" s="55"/>
      <c r="E4" s="54"/>
    </row>
    <row r="6" spans="1:8" ht="15.75" thickBot="1" x14ac:dyDescent="0.3"/>
    <row r="7" spans="1:8" ht="27" thickBot="1" x14ac:dyDescent="0.45">
      <c r="A7" s="274" t="s">
        <v>40</v>
      </c>
      <c r="B7" s="275"/>
      <c r="C7" s="275"/>
      <c r="D7" s="275"/>
      <c r="E7" s="275"/>
      <c r="F7" s="275"/>
      <c r="G7" s="275"/>
      <c r="H7" s="276"/>
    </row>
    <row r="8" spans="1:8" ht="48.75" customHeight="1" thickBot="1" x14ac:dyDescent="0.3">
      <c r="A8" s="53" t="s">
        <v>1</v>
      </c>
      <c r="B8" s="277" t="s">
        <v>39</v>
      </c>
      <c r="C8" s="278"/>
      <c r="D8" s="67" t="s">
        <v>37</v>
      </c>
      <c r="E8" s="279" t="s">
        <v>38</v>
      </c>
      <c r="F8" s="280"/>
      <c r="G8" s="281"/>
      <c r="H8" s="52" t="s">
        <v>37</v>
      </c>
    </row>
    <row r="9" spans="1:8" x14ac:dyDescent="0.25">
      <c r="A9" s="269">
        <v>46020</v>
      </c>
      <c r="B9" s="250" t="s">
        <v>36</v>
      </c>
      <c r="C9" s="251"/>
      <c r="D9" s="100">
        <v>2</v>
      </c>
      <c r="E9" s="240" t="s">
        <v>36</v>
      </c>
      <c r="F9" s="241"/>
      <c r="G9" s="242"/>
      <c r="H9" s="98">
        <v>2</v>
      </c>
    </row>
    <row r="10" spans="1:8" ht="15.75" thickBot="1" x14ac:dyDescent="0.3">
      <c r="A10" s="269"/>
      <c r="B10" s="243" t="s">
        <v>34</v>
      </c>
      <c r="C10" s="244"/>
      <c r="D10" s="63">
        <v>2</v>
      </c>
      <c r="E10" s="245" t="s">
        <v>34</v>
      </c>
      <c r="F10" s="246"/>
      <c r="G10" s="247"/>
      <c r="H10" s="99">
        <v>2</v>
      </c>
    </row>
    <row r="11" spans="1:8" x14ac:dyDescent="0.25">
      <c r="A11" s="252">
        <v>46021</v>
      </c>
      <c r="B11" s="238" t="s">
        <v>36</v>
      </c>
      <c r="C11" s="239"/>
      <c r="D11" s="96">
        <v>2</v>
      </c>
      <c r="E11" s="240" t="s">
        <v>36</v>
      </c>
      <c r="F11" s="241"/>
      <c r="G11" s="242"/>
      <c r="H11" s="98">
        <v>2</v>
      </c>
    </row>
    <row r="12" spans="1:8" s="68" customFormat="1" ht="15.75" thickBot="1" x14ac:dyDescent="0.3">
      <c r="A12" s="253"/>
      <c r="B12" s="243" t="s">
        <v>34</v>
      </c>
      <c r="C12" s="244"/>
      <c r="D12" s="110">
        <v>2</v>
      </c>
      <c r="E12" s="245" t="s">
        <v>34</v>
      </c>
      <c r="F12" s="246"/>
      <c r="G12" s="247"/>
      <c r="H12" s="109">
        <v>2</v>
      </c>
    </row>
    <row r="13" spans="1:8" x14ac:dyDescent="0.25">
      <c r="A13" s="248">
        <v>46022</v>
      </c>
      <c r="B13" s="238" t="s">
        <v>36</v>
      </c>
      <c r="C13" s="239"/>
      <c r="D13" s="148">
        <v>2</v>
      </c>
      <c r="E13" s="240" t="s">
        <v>36</v>
      </c>
      <c r="F13" s="241"/>
      <c r="G13" s="242"/>
      <c r="H13" s="98">
        <v>2</v>
      </c>
    </row>
    <row r="14" spans="1:8" ht="15.75" thickBot="1" x14ac:dyDescent="0.3">
      <c r="A14" s="249"/>
      <c r="B14" s="254">
        <v>0.54166666666666663</v>
      </c>
      <c r="C14" s="244"/>
      <c r="D14" s="110">
        <v>1</v>
      </c>
      <c r="E14" s="255">
        <v>0.54166666666666663</v>
      </c>
      <c r="F14" s="246"/>
      <c r="G14" s="247"/>
      <c r="H14" s="109">
        <v>1</v>
      </c>
    </row>
    <row r="15" spans="1:8" x14ac:dyDescent="0.25">
      <c r="A15" s="236">
        <v>46027</v>
      </c>
      <c r="B15" s="250" t="s">
        <v>36</v>
      </c>
      <c r="C15" s="251"/>
      <c r="D15" s="100">
        <v>2</v>
      </c>
      <c r="E15" s="240" t="s">
        <v>36</v>
      </c>
      <c r="F15" s="241"/>
      <c r="G15" s="242"/>
      <c r="H15" s="98">
        <v>2</v>
      </c>
    </row>
    <row r="16" spans="1:8" ht="15.75" thickBot="1" x14ac:dyDescent="0.3">
      <c r="A16" s="237"/>
      <c r="B16" s="243" t="s">
        <v>34</v>
      </c>
      <c r="C16" s="244"/>
      <c r="D16" s="110">
        <v>2</v>
      </c>
      <c r="E16" s="245" t="s">
        <v>34</v>
      </c>
      <c r="F16" s="246"/>
      <c r="G16" s="247"/>
      <c r="H16" s="109">
        <v>2</v>
      </c>
    </row>
    <row r="17" spans="1:10" ht="14.45" customHeight="1" x14ac:dyDescent="0.25">
      <c r="A17" s="269">
        <v>46028</v>
      </c>
      <c r="B17" s="238" t="s">
        <v>36</v>
      </c>
      <c r="C17" s="239"/>
      <c r="D17" s="133">
        <v>2</v>
      </c>
      <c r="E17" s="240" t="s">
        <v>36</v>
      </c>
      <c r="F17" s="241"/>
      <c r="G17" s="242"/>
      <c r="H17" s="98">
        <v>2</v>
      </c>
      <c r="I17" s="270"/>
      <c r="J17" s="271"/>
    </row>
    <row r="18" spans="1:10" ht="15.75" thickBot="1" x14ac:dyDescent="0.3">
      <c r="A18" s="249"/>
      <c r="B18" s="243" t="s">
        <v>34</v>
      </c>
      <c r="C18" s="244"/>
      <c r="D18" s="110">
        <v>2</v>
      </c>
      <c r="E18" s="245" t="s">
        <v>34</v>
      </c>
      <c r="F18" s="246"/>
      <c r="G18" s="247"/>
      <c r="H18" s="109">
        <v>2</v>
      </c>
      <c r="I18" s="270"/>
      <c r="J18" s="271"/>
    </row>
    <row r="19" spans="1:10" s="68" customFormat="1" x14ac:dyDescent="0.25">
      <c r="A19" s="236">
        <v>46029</v>
      </c>
      <c r="B19" s="250" t="s">
        <v>36</v>
      </c>
      <c r="C19" s="251"/>
      <c r="D19" s="112">
        <v>2</v>
      </c>
      <c r="E19" s="264" t="s">
        <v>36</v>
      </c>
      <c r="F19" s="265"/>
      <c r="G19" s="266"/>
      <c r="H19" s="98">
        <v>2</v>
      </c>
    </row>
    <row r="20" spans="1:10" s="68" customFormat="1" ht="15.75" thickBot="1" x14ac:dyDescent="0.3">
      <c r="A20" s="237"/>
      <c r="B20" s="243" t="s">
        <v>34</v>
      </c>
      <c r="C20" s="244"/>
      <c r="D20" s="110">
        <v>2</v>
      </c>
      <c r="E20" s="245" t="s">
        <v>34</v>
      </c>
      <c r="F20" s="246"/>
      <c r="G20" s="247"/>
      <c r="H20" s="109">
        <v>2</v>
      </c>
    </row>
    <row r="21" spans="1:10" s="68" customFormat="1" x14ac:dyDescent="0.25">
      <c r="A21" s="269">
        <v>46030</v>
      </c>
      <c r="B21" s="250" t="s">
        <v>36</v>
      </c>
      <c r="C21" s="251"/>
      <c r="D21" s="148">
        <v>2</v>
      </c>
      <c r="E21" s="240" t="s">
        <v>36</v>
      </c>
      <c r="F21" s="241"/>
      <c r="G21" s="242"/>
      <c r="H21" s="98">
        <v>2</v>
      </c>
    </row>
    <row r="22" spans="1:10" s="68" customFormat="1" ht="15.75" thickBot="1" x14ac:dyDescent="0.3">
      <c r="A22" s="269"/>
      <c r="B22" s="243" t="s">
        <v>34</v>
      </c>
      <c r="C22" s="244"/>
      <c r="D22" s="63">
        <v>2</v>
      </c>
      <c r="E22" s="245" t="s">
        <v>34</v>
      </c>
      <c r="F22" s="246"/>
      <c r="G22" s="247"/>
      <c r="H22" s="99">
        <v>2</v>
      </c>
    </row>
    <row r="23" spans="1:10" s="68" customFormat="1" x14ac:dyDescent="0.25">
      <c r="A23" s="252">
        <v>46031</v>
      </c>
      <c r="B23" s="238" t="s">
        <v>36</v>
      </c>
      <c r="C23" s="239"/>
      <c r="D23" s="148">
        <v>2</v>
      </c>
      <c r="E23" s="240" t="s">
        <v>36</v>
      </c>
      <c r="F23" s="241"/>
      <c r="G23" s="242"/>
      <c r="H23" s="98">
        <v>2</v>
      </c>
    </row>
    <row r="24" spans="1:10" s="68" customFormat="1" ht="15.75" thickBot="1" x14ac:dyDescent="0.3">
      <c r="A24" s="253"/>
      <c r="B24" s="243" t="s">
        <v>35</v>
      </c>
      <c r="C24" s="244"/>
      <c r="D24" s="110">
        <v>2</v>
      </c>
      <c r="E24" s="245" t="s">
        <v>35</v>
      </c>
      <c r="F24" s="246"/>
      <c r="G24" s="247"/>
      <c r="H24" s="109">
        <v>2</v>
      </c>
    </row>
    <row r="25" spans="1:10" s="68" customFormat="1" x14ac:dyDescent="0.25">
      <c r="A25" s="248">
        <v>46034</v>
      </c>
      <c r="B25" s="250" t="s">
        <v>36</v>
      </c>
      <c r="C25" s="251"/>
      <c r="D25" s="148">
        <v>2</v>
      </c>
      <c r="E25" s="240" t="s">
        <v>36</v>
      </c>
      <c r="F25" s="241"/>
      <c r="G25" s="242"/>
      <c r="H25" s="98">
        <v>2</v>
      </c>
    </row>
    <row r="26" spans="1:10" s="68" customFormat="1" ht="15.75" thickBot="1" x14ac:dyDescent="0.3">
      <c r="A26" s="249"/>
      <c r="B26" s="243" t="s">
        <v>34</v>
      </c>
      <c r="C26" s="244"/>
      <c r="D26" s="110">
        <v>2</v>
      </c>
      <c r="E26" s="245" t="s">
        <v>34</v>
      </c>
      <c r="F26" s="246"/>
      <c r="G26" s="247"/>
      <c r="H26" s="109">
        <v>2</v>
      </c>
    </row>
    <row r="27" spans="1:10" s="68" customFormat="1" x14ac:dyDescent="0.25">
      <c r="A27" s="236">
        <v>46035</v>
      </c>
      <c r="B27" s="238" t="s">
        <v>36</v>
      </c>
      <c r="C27" s="239"/>
      <c r="D27" s="148">
        <v>2</v>
      </c>
      <c r="E27" s="240" t="s">
        <v>36</v>
      </c>
      <c r="F27" s="241"/>
      <c r="G27" s="242"/>
      <c r="H27" s="98">
        <v>2</v>
      </c>
    </row>
    <row r="28" spans="1:10" s="68" customFormat="1" ht="15.75" thickBot="1" x14ac:dyDescent="0.3">
      <c r="A28" s="237"/>
      <c r="B28" s="243" t="s">
        <v>34</v>
      </c>
      <c r="C28" s="244"/>
      <c r="D28" s="110">
        <v>2</v>
      </c>
      <c r="E28" s="245" t="s">
        <v>34</v>
      </c>
      <c r="F28" s="246"/>
      <c r="G28" s="247"/>
      <c r="H28" s="109">
        <v>2</v>
      </c>
    </row>
    <row r="29" spans="1:10" s="68" customFormat="1" x14ac:dyDescent="0.25">
      <c r="A29" s="269">
        <v>46036</v>
      </c>
      <c r="B29" s="250" t="s">
        <v>36</v>
      </c>
      <c r="C29" s="251"/>
      <c r="D29" s="148">
        <v>2</v>
      </c>
      <c r="E29" s="264" t="s">
        <v>36</v>
      </c>
      <c r="F29" s="265"/>
      <c r="G29" s="266"/>
      <c r="H29" s="98">
        <v>2</v>
      </c>
    </row>
    <row r="30" spans="1:10" s="68" customFormat="1" ht="15.75" thickBot="1" x14ac:dyDescent="0.3">
      <c r="A30" s="249"/>
      <c r="B30" s="243" t="s">
        <v>34</v>
      </c>
      <c r="C30" s="244"/>
      <c r="D30" s="110">
        <v>2</v>
      </c>
      <c r="E30" s="245" t="s">
        <v>34</v>
      </c>
      <c r="F30" s="246"/>
      <c r="G30" s="247"/>
      <c r="H30" s="109">
        <v>2</v>
      </c>
    </row>
    <row r="31" spans="1:10" s="68" customFormat="1" x14ac:dyDescent="0.25">
      <c r="A31" s="236">
        <v>46037</v>
      </c>
      <c r="B31" s="250" t="s">
        <v>36</v>
      </c>
      <c r="C31" s="251"/>
      <c r="D31" s="148">
        <v>2</v>
      </c>
      <c r="E31" s="264" t="s">
        <v>36</v>
      </c>
      <c r="F31" s="265"/>
      <c r="G31" s="266"/>
      <c r="H31" s="98">
        <v>2</v>
      </c>
    </row>
    <row r="32" spans="1:10" s="68" customFormat="1" ht="15.75" thickBot="1" x14ac:dyDescent="0.3">
      <c r="A32" s="237"/>
      <c r="B32" s="243" t="s">
        <v>34</v>
      </c>
      <c r="C32" s="244"/>
      <c r="D32" s="110">
        <v>2</v>
      </c>
      <c r="E32" s="245" t="s">
        <v>34</v>
      </c>
      <c r="F32" s="246"/>
      <c r="G32" s="247"/>
      <c r="H32" s="109">
        <v>2</v>
      </c>
    </row>
    <row r="33" spans="4:8" x14ac:dyDescent="0.25">
      <c r="D33" s="256">
        <f>SUM(D9:D32)</f>
        <v>47</v>
      </c>
      <c r="E33" s="258" t="s">
        <v>33</v>
      </c>
      <c r="F33" s="259"/>
      <c r="G33" s="260"/>
      <c r="H33" s="256">
        <f>SUM(H9:H32)</f>
        <v>47</v>
      </c>
    </row>
    <row r="34" spans="4:8" ht="15.75" thickBot="1" x14ac:dyDescent="0.3">
      <c r="D34" s="257"/>
      <c r="E34" s="261"/>
      <c r="F34" s="262"/>
      <c r="G34" s="263"/>
      <c r="H34" s="257"/>
    </row>
    <row r="35" spans="4:8" x14ac:dyDescent="0.25">
      <c r="F35" s="267">
        <f>D33+H33</f>
        <v>94</v>
      </c>
    </row>
    <row r="36" spans="4:8" ht="15.75" thickBot="1" x14ac:dyDescent="0.3">
      <c r="F36" s="268"/>
    </row>
  </sheetData>
  <mergeCells count="70">
    <mergeCell ref="I17:J18"/>
    <mergeCell ref="C2:D2"/>
    <mergeCell ref="A7:H7"/>
    <mergeCell ref="B8:C8"/>
    <mergeCell ref="E8:G8"/>
    <mergeCell ref="C3:D3"/>
    <mergeCell ref="E9:G9"/>
    <mergeCell ref="B9:C9"/>
    <mergeCell ref="A9:A10"/>
    <mergeCell ref="A11:A12"/>
    <mergeCell ref="B11:C11"/>
    <mergeCell ref="E11:G11"/>
    <mergeCell ref="B10:C10"/>
    <mergeCell ref="E10:G10"/>
    <mergeCell ref="B12:C12"/>
    <mergeCell ref="E12:G12"/>
    <mergeCell ref="F35:F36"/>
    <mergeCell ref="A17:A18"/>
    <mergeCell ref="E17:G17"/>
    <mergeCell ref="B18:C18"/>
    <mergeCell ref="E18:G18"/>
    <mergeCell ref="B17:C17"/>
    <mergeCell ref="A19:A20"/>
    <mergeCell ref="A29:A30"/>
    <mergeCell ref="B29:C29"/>
    <mergeCell ref="E29:G29"/>
    <mergeCell ref="A31:A32"/>
    <mergeCell ref="A21:A22"/>
    <mergeCell ref="B21:C21"/>
    <mergeCell ref="E21:G21"/>
    <mergeCell ref="B22:C22"/>
    <mergeCell ref="E22:G22"/>
    <mergeCell ref="H33:H34"/>
    <mergeCell ref="E33:G34"/>
    <mergeCell ref="D33:D34"/>
    <mergeCell ref="E13:G13"/>
    <mergeCell ref="B16:C16"/>
    <mergeCell ref="E16:G16"/>
    <mergeCell ref="B20:C20"/>
    <mergeCell ref="E20:G20"/>
    <mergeCell ref="B19:C19"/>
    <mergeCell ref="E19:G19"/>
    <mergeCell ref="B30:C30"/>
    <mergeCell ref="E30:G30"/>
    <mergeCell ref="B31:C31"/>
    <mergeCell ref="E31:G31"/>
    <mergeCell ref="B32:C32"/>
    <mergeCell ref="E32:G32"/>
    <mergeCell ref="A13:A14"/>
    <mergeCell ref="A15:A16"/>
    <mergeCell ref="B15:C15"/>
    <mergeCell ref="E15:G15"/>
    <mergeCell ref="B13:C13"/>
    <mergeCell ref="B14:C14"/>
    <mergeCell ref="E14:G14"/>
    <mergeCell ref="A23:A24"/>
    <mergeCell ref="B23:C23"/>
    <mergeCell ref="E23:G23"/>
    <mergeCell ref="B24:C24"/>
    <mergeCell ref="E24:G24"/>
    <mergeCell ref="A25:A26"/>
    <mergeCell ref="B25:C25"/>
    <mergeCell ref="E25:G25"/>
    <mergeCell ref="B26:C26"/>
    <mergeCell ref="E26:G26"/>
    <mergeCell ref="A27:A28"/>
    <mergeCell ref="B27:C27"/>
    <mergeCell ref="E27:G27"/>
    <mergeCell ref="B28:C28"/>
    <mergeCell ref="E28:G28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RECORRIDO CIUDAD</vt:lpstr>
      <vt:lpstr>CADETERIA</vt:lpstr>
      <vt:lpstr>JUSTO DARACT</vt:lpstr>
      <vt:lpstr>SAN LUIS</vt:lpstr>
      <vt:lpstr>TRAFIC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</dc:creator>
  <cp:lastModifiedBy>Usuario</cp:lastModifiedBy>
  <cp:lastPrinted>2025-08-18T06:15:47Z</cp:lastPrinted>
  <dcterms:created xsi:type="dcterms:W3CDTF">2023-11-16T01:50:10Z</dcterms:created>
  <dcterms:modified xsi:type="dcterms:W3CDTF">2026-01-19T02:05:45Z</dcterms:modified>
</cp:coreProperties>
</file>